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Transactions" sheetId="2" r:id="rId5"/>
    <sheet state="visible" name="Visualization" sheetId="3" r:id="rId6"/>
  </sheets>
  <definedNames>
    <definedName name="StartingBalance">Summary!$L$8</definedName>
  </definedNames>
  <calcPr/>
</workbook>
</file>

<file path=xl/sharedStrings.xml><?xml version="1.0" encoding="utf-8"?>
<sst xmlns="http://schemas.openxmlformats.org/spreadsheetml/2006/main" count="297" uniqueCount="117">
  <si>
    <t>Change or add categories by updating the Expenses and Income tables in the Summary sheet.</t>
  </si>
  <si>
    <t>Expenses</t>
  </si>
  <si>
    <t>GET STARTED</t>
  </si>
  <si>
    <t>NOTE</t>
  </si>
  <si>
    <t>Income</t>
  </si>
  <si>
    <t>Set your starting balance in cell L8, then customize your categories and planned spending amounts in the 'Income' and 'Expenses' tables below.</t>
  </si>
  <si>
    <t>Only edit highlighted cells.</t>
  </si>
  <si>
    <t>Date</t>
  </si>
  <si>
    <t xml:space="preserve">Try not to alter cells that contain a formula. </t>
  </si>
  <si>
    <t>Amount</t>
  </si>
  <si>
    <t>Description</t>
  </si>
  <si>
    <t>Category</t>
  </si>
  <si>
    <t>As you enter data in the 'Transactions' tab, this sheet will automatically update to show a summary of your spending for the month.</t>
  </si>
  <si>
    <t>Monthly Budget</t>
  </si>
  <si>
    <t xml:space="preserve">Starting balance: </t>
  </si>
  <si>
    <t>Chips + Laddu</t>
  </si>
  <si>
    <t>Dineout</t>
  </si>
  <si>
    <t xml:space="preserve">Salary </t>
  </si>
  <si>
    <t>Paycheck</t>
  </si>
  <si>
    <t>Sweets</t>
  </si>
  <si>
    <t>Amazon Credit card cash back</t>
  </si>
  <si>
    <t>Other</t>
  </si>
  <si>
    <t>Babies Diapers</t>
  </si>
  <si>
    <t>Health/medical</t>
  </si>
  <si>
    <t xml:space="preserve">Axis credit card cash back </t>
  </si>
  <si>
    <t>Kari kari Rice Crackers</t>
  </si>
  <si>
    <t>Vegetables + milk</t>
  </si>
  <si>
    <t>Groceries</t>
  </si>
  <si>
    <t>Aug Rent</t>
  </si>
  <si>
    <t>Home Rent</t>
  </si>
  <si>
    <t>Vegetables</t>
  </si>
  <si>
    <t>Onions</t>
  </si>
  <si>
    <t>Alergy medicine - cold</t>
  </si>
  <si>
    <t>Tea Udupi</t>
  </si>
  <si>
    <t>Curd</t>
  </si>
  <si>
    <t>House help salary</t>
  </si>
  <si>
    <t>Personal</t>
  </si>
  <si>
    <t>Anji doctors consultation</t>
  </si>
  <si>
    <t>Anji medicine</t>
  </si>
  <si>
    <t>Petrol - bike</t>
  </si>
  <si>
    <t>Petrol</t>
  </si>
  <si>
    <t xml:space="preserve">My GS Appointment </t>
  </si>
  <si>
    <t xml:space="preserve">START BALANCE </t>
  </si>
  <si>
    <t xml:space="preserve"> END BALANCE</t>
  </si>
  <si>
    <t>Ice cream</t>
  </si>
  <si>
    <t>Banana</t>
  </si>
  <si>
    <t>Breakfast Udupi Gardenia</t>
  </si>
  <si>
    <t>Milk</t>
  </si>
  <si>
    <t>Gas cylinder ￼</t>
  </si>
  <si>
    <t>Utilities</t>
  </si>
  <si>
    <t>Pani puri</t>
  </si>
  <si>
    <t>Smart bazar</t>
  </si>
  <si>
    <t>Tea</t>
  </si>
  <si>
    <t>Hair cut</t>
  </si>
  <si>
    <t>Planned</t>
  </si>
  <si>
    <t xml:space="preserve">iPhone 16 screen protector </t>
  </si>
  <si>
    <t>Chat</t>
  </si>
  <si>
    <t xml:space="preserve">Fruits </t>
  </si>
  <si>
    <t>Coffee</t>
  </si>
  <si>
    <t>Actual</t>
  </si>
  <si>
    <t>Breakfast Udupi</t>
  </si>
  <si>
    <t xml:space="preserve">Curd maker </t>
  </si>
  <si>
    <t>Shopping</t>
  </si>
  <si>
    <t>Anvi blood test</t>
  </si>
  <si>
    <t>Tulsi plant</t>
  </si>
  <si>
    <t>Diff.</t>
  </si>
  <si>
    <t xml:space="preserve">Milk + coconut </t>
  </si>
  <si>
    <t>Totals</t>
  </si>
  <si>
    <t>YouTube community subscription</t>
  </si>
  <si>
    <t>Subscriptions</t>
  </si>
  <si>
    <t>S S store</t>
  </si>
  <si>
    <t>Babies doctor consultation</t>
  </si>
  <si>
    <t xml:space="preserve">Babies medicine </t>
  </si>
  <si>
    <t>Everyday fresh fruits</t>
  </si>
  <si>
    <t>Gummies for babies</t>
  </si>
  <si>
    <t>Banana + eggs</t>
  </si>
  <si>
    <t>Mall - baby car ride</t>
  </si>
  <si>
    <t>Udupi dosa + Paw bhajji</t>
  </si>
  <si>
    <t>Zudio shopping</t>
  </si>
  <si>
    <t>Savings</t>
  </si>
  <si>
    <t xml:space="preserve">Dinner Udupi </t>
  </si>
  <si>
    <t>Office lunch extra</t>
  </si>
  <si>
    <t xml:space="preserve">Babies Medicine </t>
  </si>
  <si>
    <t>Hand wash</t>
  </si>
  <si>
    <t>Officer lunch extra</t>
  </si>
  <si>
    <t xml:space="preserve">Cold medicine </t>
  </si>
  <si>
    <t>Bonus</t>
  </si>
  <si>
    <t>Ghee 2.5L</t>
  </si>
  <si>
    <t>Interest</t>
  </si>
  <si>
    <t>Insurance</t>
  </si>
  <si>
    <t>Hair cut + face dtan</t>
  </si>
  <si>
    <t xml:space="preserve">Biscuits </t>
  </si>
  <si>
    <t xml:space="preserve">Pani puri </t>
  </si>
  <si>
    <t xml:space="preserve">Smart bazar shopping </t>
  </si>
  <si>
    <t>Electricity bill</t>
  </si>
  <si>
    <t xml:space="preserve">Custom category </t>
  </si>
  <si>
    <t>Harsha + Amruth Farewell</t>
  </si>
  <si>
    <t>Vegetables + Fruites</t>
  </si>
  <si>
    <t>Travel/Transportation</t>
  </si>
  <si>
    <t>Medicines</t>
  </si>
  <si>
    <t>Onions + Eggs</t>
  </si>
  <si>
    <t>Hanuman temple</t>
  </si>
  <si>
    <t>Babies cupboard</t>
  </si>
  <si>
    <t>Hole saw drill bit</t>
  </si>
  <si>
    <t>4 dressing table - locks</t>
  </si>
  <si>
    <t>Electic Screwdriver</t>
  </si>
  <si>
    <t xml:space="preserve">Immunotherapy medicine </t>
  </si>
  <si>
    <t xml:space="preserve">Dr Veena consultation </t>
  </si>
  <si>
    <t xml:space="preserve">Medicine </t>
  </si>
  <si>
    <t>Jet spray + drawer lock</t>
  </si>
  <si>
    <t xml:space="preserve">Tea </t>
  </si>
  <si>
    <t>Gifts/Donation</t>
  </si>
  <si>
    <t>Paw bhaji + tea</t>
  </si>
  <si>
    <t>Dosa</t>
  </si>
  <si>
    <t>Drill bit</t>
  </si>
  <si>
    <t>Coffee powder</t>
  </si>
  <si>
    <t>Gym/Sports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</si>
</sst>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&quot;-&quot;mmm&quot;-&quot;yyyy"/>
    <numFmt numFmtId="165" formatCode="M/d/yyyy"/>
    <numFmt numFmtId="166" formatCode="[$₹]#,##0"/>
    <numFmt numFmtId="167" formatCode="&quot;$&quot;#,##0.00"/>
    <numFmt numFmtId="168" formatCode="mmmm&quot; &quot;yyyy"/>
    <numFmt numFmtId="169" formatCode="&quot;$&quot;#,##0"/>
    <numFmt numFmtId="170" formatCode="+#,#%;-#,#%;0%"/>
    <numFmt numFmtId="171" formatCode="+$#,#;-$#,#;$0"/>
  </numFmts>
  <fonts count="48">
    <font>
      <sz val="10.0"/>
      <color rgb="FF000000"/>
      <name val="Arial"/>
    </font>
    <font>
      <sz val="10.0"/>
      <name val="Lato"/>
    </font>
    <font>
      <i/>
      <sz val="10.0"/>
      <color rgb="FF708090"/>
      <name val="Lato"/>
    </font>
    <font>
      <i/>
      <sz val="10.0"/>
      <color rgb="FFCCCCCC"/>
      <name val="Lato"/>
    </font>
    <font>
      <sz val="9.0"/>
      <color rgb="FFFFFFFF"/>
      <name val="Lato"/>
    </font>
    <font>
      <sz val="10.0"/>
      <color rgb="FFF46524"/>
      <name val="Lato"/>
    </font>
    <font>
      <b/>
      <sz val="18.0"/>
      <color rgb="FFF46524"/>
      <name val="Raleway"/>
    </font>
    <font>
      <b/>
      <sz val="9.0"/>
      <color rgb="FFFFFFFF"/>
      <name val="Lato"/>
    </font>
    <font>
      <sz val="9.0"/>
      <color rgb="FFCCCCCC"/>
      <name val="Lato"/>
    </font>
    <font>
      <sz val="10.0"/>
      <color rgb="FFCCCCCC"/>
      <name val="Lato"/>
    </font>
    <font>
      <i/>
      <sz val="10.0"/>
      <color rgb="FF334960"/>
      <name val="Lato"/>
    </font>
    <font>
      <b/>
      <sz val="11.0"/>
      <color rgb="FF334960"/>
      <name val="Lato"/>
    </font>
    <font>
      <sz val="10.0"/>
      <color rgb="FF687887"/>
      <name val="Lato"/>
    </font>
    <font>
      <name val="Lato"/>
    </font>
    <font>
      <color rgb="FF556376"/>
      <name val="Lato"/>
    </font>
    <font>
      <sz val="10.0"/>
      <color rgb="FF334960"/>
      <name val="Lato"/>
    </font>
    <font>
      <b/>
      <sz val="25.0"/>
      <color rgb="FFF46524"/>
      <name val="Raleway"/>
    </font>
    <font>
      <color rgb="FF334960"/>
      <name val="Lato"/>
    </font>
    <font>
      <b/>
      <sz val="10.0"/>
      <color rgb="FF334960"/>
      <name val="Lato"/>
    </font>
    <font>
      <b/>
      <sz val="10.0"/>
      <color rgb="FF576475"/>
      <name val="Lato"/>
    </font>
    <font>
      <sz val="10.0"/>
      <color rgb="FF576475"/>
      <name val="Lato"/>
    </font>
    <font>
      <b/>
      <sz val="25.0"/>
      <color rgb="FF334960"/>
      <name val="Lato"/>
    </font>
    <font>
      <color rgb="FF687887"/>
      <name val="Lato"/>
    </font>
    <font>
      <b/>
      <sz val="10.0"/>
      <name val="Lato"/>
    </font>
    <font>
      <b/>
      <color rgb="FF576475"/>
      <name val="Lato"/>
    </font>
    <font/>
    <font>
      <sz val="24.0"/>
      <color rgb="FF334960"/>
      <name val="Lato"/>
    </font>
    <font>
      <b/>
      <sz val="24.0"/>
      <color rgb="FF334960"/>
      <name val="Lato"/>
    </font>
    <font>
      <i/>
      <sz val="10.0"/>
      <color rgb="FF576475"/>
      <name val="Lato"/>
    </font>
    <font>
      <b/>
      <name val="Lato"/>
    </font>
    <font>
      <b/>
      <sz val="14.0"/>
      <color rgb="FF334960"/>
      <name val="Lato"/>
    </font>
    <font>
      <b/>
      <sz val="14.0"/>
      <color rgb="FFF46524"/>
      <name val="Lato"/>
    </font>
    <font>
      <i/>
      <sz val="10.0"/>
      <color rgb="FFF46524"/>
      <name val="Lato"/>
    </font>
    <font>
      <sz val="14.0"/>
      <name val="Lato"/>
    </font>
    <font>
      <b/>
      <color rgb="FF334960"/>
      <name val="Lato"/>
    </font>
    <font>
      <b/>
      <sz val="10.0"/>
      <color rgb="FF666666"/>
      <name val="Lato"/>
    </font>
    <font>
      <sz val="10.0"/>
      <color rgb="FF666666"/>
      <name val="Lato"/>
    </font>
    <font>
      <b/>
      <sz val="10.0"/>
      <color rgb="FFF46524"/>
      <name val="Lato"/>
    </font>
    <font>
      <b/>
      <sz val="17.0"/>
      <color rgb="FFF46524"/>
      <name val="Raleway"/>
    </font>
    <font>
      <b/>
      <sz val="18.0"/>
      <color rgb="FFF46524"/>
      <name val="Lato"/>
    </font>
    <font>
      <b/>
      <sz val="17.0"/>
      <color rgb="FF334960"/>
      <name val="Lato"/>
    </font>
    <font>
      <b/>
      <sz val="18.0"/>
      <color rgb="FF334960"/>
      <name val="Lato"/>
    </font>
    <font>
      <sz val="18.0"/>
      <color rgb="FF334960"/>
      <name val="Lato"/>
    </font>
    <font>
      <i/>
      <sz val="9.0"/>
      <color rgb="FF687887"/>
      <name val="Lato"/>
    </font>
    <font>
      <b/>
      <sz val="10.0"/>
      <color rgb="FF434343"/>
      <name val="Lato"/>
    </font>
    <font>
      <sz val="10.0"/>
      <color rgb="FF434343"/>
      <name val="Lato"/>
    </font>
    <font>
      <b/>
      <color rgb="FF434343"/>
      <name val="Lato"/>
    </font>
    <font>
      <color rgb="FF434343"/>
      <name val="Lato"/>
    </font>
  </fonts>
  <fills count="6">
    <fill>
      <patternFill patternType="none"/>
    </fill>
    <fill>
      <patternFill patternType="lightGray"/>
    </fill>
    <fill>
      <patternFill patternType="solid">
        <fgColor rgb="FF334960"/>
        <bgColor rgb="FF334960"/>
      </patternFill>
    </fill>
    <fill>
      <patternFill patternType="solid">
        <fgColor rgb="FFFFF2ED"/>
        <bgColor rgb="FFFFF2ED"/>
      </patternFill>
    </fill>
    <fill>
      <patternFill patternType="solid">
        <fgColor rgb="FFFFFFFF"/>
        <bgColor rgb="FFFFFFFF"/>
      </patternFill>
    </fill>
    <fill>
      <patternFill patternType="solid">
        <fgColor rgb="FFEBEDEF"/>
        <bgColor rgb="FFEBEDEF"/>
      </patternFill>
    </fill>
  </fills>
  <borders count="29">
    <border/>
    <border>
      <bottom style="thin">
        <color rgb="FFCCCCCC"/>
      </bottom>
    </border>
    <border>
      <bottom style="hair">
        <color rgb="FFCCCCCC"/>
      </bottom>
    </border>
    <border>
      <top style="hair">
        <color rgb="FFD9D9D9"/>
      </top>
      <bottom style="hair">
        <color rgb="FFD9D9D9"/>
      </bottom>
    </border>
    <border>
      <left style="thin">
        <color rgb="FFD9D9D9"/>
      </left>
      <top style="thin">
        <color rgb="FFD9D9D9"/>
      </top>
    </border>
    <border>
      <top style="hair">
        <color rgb="FFD9D9D9"/>
      </top>
      <bottom style="hair">
        <color rgb="FFCCCCCC"/>
      </bottom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right style="dotted">
        <color rgb="FFB7B7B7"/>
      </right>
    </border>
    <border>
      <left style="thin">
        <color rgb="FFD9D9D9"/>
      </left>
    </border>
    <border>
      <right style="thin">
        <color rgb="FFD9D9D9"/>
      </right>
    </border>
    <border>
      <bottom style="dotted">
        <color rgb="FFB7B7B7"/>
      </bottom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top style="hair">
        <color rgb="FFD9D9D9"/>
      </top>
    </border>
    <border>
      <bottom style="thin">
        <color rgb="FFFFFFFF"/>
      </bottom>
    </border>
    <border>
      <top style="thin">
        <color rgb="FFA7B0BF"/>
      </top>
    </border>
    <border>
      <bottom style="thin">
        <color rgb="FFA7B0BF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ill="1" applyFont="1">
      <alignment vertical="center"/>
    </xf>
    <xf borderId="0" fillId="2" fontId="1" numFmtId="0" xfId="0" applyAlignment="1" applyFill="1" applyFont="1">
      <alignment horizontal="right" vertical="bottom"/>
    </xf>
    <xf borderId="0" fillId="2" fontId="3" numFmtId="0" xfId="0" applyAlignment="1" applyFill="1" applyFont="1">
      <alignment horizontal="left" readingOrder="0" shrinkToFit="0" vertical="center" wrapText="1"/>
    </xf>
    <xf borderId="0" fillId="2" fontId="4" numFmtId="0" xfId="0" applyAlignment="1" applyFill="1" applyFont="1">
      <alignment shrinkToFit="0" vertical="center" wrapText="1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left" vertical="bottom"/>
    </xf>
    <xf borderId="0" fillId="2" fontId="7" numFmtId="0" xfId="0" applyAlignment="1" applyFill="1" applyFont="1">
      <alignment readingOrder="0" shrinkToFit="0" vertical="center" wrapText="1"/>
    </xf>
    <xf borderId="0" fillId="2" fontId="7" numFmtId="0" xfId="0" applyAlignment="1" applyFill="1" applyFont="1">
      <alignment horizontal="left" readingOrder="0" shrinkToFit="0" vertical="center" wrapText="1"/>
    </xf>
    <xf borderId="0" fillId="2" fontId="8" numFmtId="0" xfId="0" applyAlignment="1" applyFill="1" applyFont="1">
      <alignment shrinkToFit="0" vertical="top" wrapText="1"/>
    </xf>
    <xf borderId="0" fillId="0" fontId="1" numFmtId="0" xfId="0" applyAlignment="1" applyFont="1">
      <alignment vertical="bottom"/>
    </xf>
    <xf borderId="0" fillId="2" fontId="9" numFmtId="0" xfId="0" applyAlignment="1" applyFill="1" applyFont="1">
      <alignment horizontal="left" readingOrder="0" shrinkToFit="0" vertical="top" wrapText="1"/>
    </xf>
    <xf borderId="1" fillId="0" fontId="1" numFmtId="0" xfId="0" applyAlignment="1" applyBorder="1" applyFont="1">
      <alignment vertical="bottom"/>
    </xf>
    <xf borderId="0" fillId="2" fontId="8" numFmtId="0" xfId="0" applyAlignment="1" applyFill="1" applyFont="1">
      <alignment horizontal="left" readingOrder="0" shrinkToFit="0" vertical="top" wrapText="1"/>
    </xf>
    <xf borderId="0" fillId="3" fontId="10" numFmtId="0" xfId="0" applyAlignment="1" applyFill="1" applyFont="1">
      <alignment horizontal="left" readingOrder="0" shrinkToFit="0" vertical="center" wrapText="1"/>
    </xf>
    <xf borderId="0" fillId="0" fontId="1" numFmtId="0" xfId="0" applyAlignment="1" applyFont="1">
      <alignment vertical="center"/>
    </xf>
    <xf borderId="0" fillId="2" fontId="9" numFmtId="0" xfId="0" applyAlignment="1" applyFill="1" applyFont="1">
      <alignment shrinkToFit="0" vertical="top" wrapText="1"/>
    </xf>
    <xf borderId="0" fillId="0" fontId="11" numFmtId="0" xfId="0" applyAlignment="1" applyFont="1">
      <alignment horizontal="left" vertical="center"/>
    </xf>
    <xf borderId="0" fillId="2" fontId="8" numFmtId="0" xfId="0" applyAlignment="1" applyFill="1" applyFont="1">
      <alignment shrinkToFit="0" vertical="bottom" wrapText="1"/>
    </xf>
    <xf borderId="0" fillId="2" fontId="8" numFmtId="0" xfId="0" applyAlignment="1" applyFill="1" applyFont="1">
      <alignment horizontal="left" readingOrder="0" shrinkToFit="0" vertical="bottom" wrapText="1"/>
    </xf>
    <xf borderId="0" fillId="2" fontId="13" numFmtId="0" xfId="0" applyFill="1" applyFont="1"/>
    <xf borderId="2" fillId="0" fontId="12" numFmtId="164" xfId="0" applyAlignment="1" applyBorder="1" applyFont="1" applyNumberFormat="1">
      <alignment horizontal="left" readingOrder="0" vertical="center"/>
    </xf>
    <xf borderId="0" fillId="0" fontId="12" numFmtId="164" xfId="0" applyAlignment="1" applyFont="1" applyNumberFormat="1">
      <alignment horizontal="left" readingOrder="0" vertical="center"/>
    </xf>
    <xf borderId="0" fillId="0" fontId="13" numFmtId="0" xfId="0" applyAlignment="1" applyFont="1">
      <alignment vertical="top"/>
    </xf>
    <xf borderId="2" fillId="0" fontId="14" numFmtId="0" xfId="0" applyAlignment="1" applyBorder="1" applyFont="1">
      <alignment readingOrder="0"/>
    </xf>
    <xf borderId="0" fillId="0" fontId="1" numFmtId="0" xfId="0" applyAlignment="1" applyFont="1">
      <alignment vertical="top"/>
    </xf>
    <xf borderId="0" fillId="0" fontId="15" numFmtId="0" xfId="0" applyAlignment="1" applyFont="1">
      <alignment vertical="top"/>
    </xf>
    <xf borderId="0" fillId="0" fontId="15" numFmtId="0" xfId="0" applyAlignment="1" applyFont="1">
      <alignment horizontal="right" vertical="top"/>
    </xf>
    <xf borderId="0" fillId="0" fontId="5" numFmtId="0" xfId="0" applyAlignment="1" applyFont="1">
      <alignment vertical="top"/>
    </xf>
    <xf borderId="0" fillId="4" fontId="16" numFmtId="0" xfId="0" applyAlignment="1" applyFill="1" applyFont="1">
      <alignment horizontal="left" readingOrder="0" vertical="top"/>
    </xf>
    <xf borderId="0" fillId="0" fontId="17" numFmtId="0" xfId="0" applyAlignment="1" applyFont="1">
      <alignment vertical="top"/>
    </xf>
    <xf borderId="0" fillId="0" fontId="13" numFmtId="0" xfId="0" applyFont="1"/>
    <xf borderId="2" fillId="0" fontId="12" numFmtId="0" xfId="0" applyAlignment="1" applyBorder="1" applyFont="1">
      <alignment horizontal="left" readingOrder="0" vertical="center"/>
    </xf>
    <xf borderId="0" fillId="0" fontId="18" numFmtId="0" xfId="0" applyAlignment="1" applyFont="1">
      <alignment horizontal="right" readingOrder="0" vertical="center"/>
    </xf>
    <xf borderId="0" fillId="0" fontId="12" numFmtId="165" xfId="0" applyAlignment="1" applyFont="1" applyNumberFormat="1">
      <alignment horizontal="left" readingOrder="0" vertical="center"/>
    </xf>
    <xf borderId="0" fillId="3" fontId="17" numFmtId="166" xfId="0" applyAlignment="1" applyFill="1" applyFont="1" applyNumberFormat="1">
      <alignment readingOrder="0" vertical="center"/>
    </xf>
    <xf borderId="0" fillId="0" fontId="19" numFmtId="167" xfId="0" applyAlignment="1" applyFont="1" applyNumberFormat="1">
      <alignment horizontal="left" readingOrder="0" vertical="center"/>
    </xf>
    <xf borderId="0" fillId="0" fontId="20" numFmtId="0" xfId="0" applyAlignment="1" applyFont="1">
      <alignment horizontal="left" readingOrder="0" vertical="center"/>
    </xf>
    <xf borderId="0" fillId="0" fontId="10" numFmtId="0" xfId="0" applyAlignment="1" applyFont="1">
      <alignment vertical="top"/>
    </xf>
    <xf borderId="0" fillId="0" fontId="12" numFmtId="0" xfId="0" applyAlignment="1" applyFont="1">
      <alignment horizontal="left" readingOrder="0" vertical="center"/>
    </xf>
    <xf borderId="0" fillId="4" fontId="21" numFmtId="168" xfId="0" applyAlignment="1" applyFill="1" applyFont="1" applyNumberFormat="1">
      <alignment horizontal="left" vertical="top"/>
    </xf>
    <xf borderId="3" fillId="0" fontId="22" numFmtId="164" xfId="0" applyAlignment="1" applyBorder="1" applyFont="1" applyNumberFormat="1">
      <alignment readingOrder="0"/>
    </xf>
    <xf borderId="0" fillId="0" fontId="23" numFmtId="0" xfId="0" applyAlignment="1" applyFont="1">
      <alignment vertical="bottom"/>
    </xf>
    <xf borderId="0" fillId="0" fontId="1" numFmtId="0" xfId="0" applyAlignment="1" applyFont="1">
      <alignment horizontal="left" vertical="bottom"/>
    </xf>
    <xf borderId="3" fillId="0" fontId="24" numFmtId="166" xfId="0" applyAlignment="1" applyBorder="1" applyFont="1" applyNumberFormat="1">
      <alignment horizontal="right" readingOrder="0" vertical="bottom"/>
    </xf>
    <xf borderId="3" fillId="0" fontId="14" numFmtId="0" xfId="0" applyAlignment="1" applyBorder="1" applyFont="1">
      <alignment readingOrder="0"/>
    </xf>
    <xf borderId="4" fillId="5" fontId="13" numFmtId="0" xfId="0" applyBorder="1" applyFill="1" applyFont="1"/>
    <xf borderId="6" fillId="5" fontId="13" numFmtId="0" xfId="0" applyBorder="1" applyFill="1" applyFont="1"/>
    <xf borderId="5" fillId="0" fontId="12" numFmtId="0" xfId="0" applyAlignment="1" applyBorder="1" applyFont="1">
      <alignment horizontal="left" readingOrder="0" vertical="center"/>
    </xf>
    <xf borderId="7" fillId="5" fontId="1" numFmtId="0" xfId="0" applyAlignment="1" applyBorder="1" applyFill="1" applyFont="1">
      <alignment vertical="bottom"/>
    </xf>
    <xf borderId="3" fillId="0" fontId="12" numFmtId="164" xfId="0" applyAlignment="1" applyBorder="1" applyFont="1" applyNumberFormat="1">
      <alignment horizontal="left" readingOrder="0" vertical="center"/>
    </xf>
    <xf borderId="3" fillId="0" fontId="19" numFmtId="166" xfId="0" applyAlignment="1" applyBorder="1" applyFont="1" applyNumberFormat="1">
      <alignment horizontal="left" readingOrder="0" vertical="center"/>
    </xf>
    <xf borderId="3" fillId="0" fontId="20" numFmtId="0" xfId="0" applyAlignment="1" applyBorder="1" applyFont="1">
      <alignment horizontal="left" readingOrder="0" vertical="center"/>
    </xf>
    <xf borderId="3" fillId="0" fontId="12" numFmtId="0" xfId="0" applyAlignment="1" applyBorder="1" applyFont="1">
      <alignment horizontal="left" readingOrder="0" vertical="center"/>
    </xf>
    <xf borderId="3" fillId="0" fontId="22" numFmtId="0" xfId="0" applyAlignment="1" applyBorder="1" applyFont="1">
      <alignment readingOrder="0"/>
    </xf>
    <xf borderId="3" fillId="0" fontId="12" numFmtId="165" xfId="0" applyAlignment="1" applyBorder="1" applyFont="1" applyNumberFormat="1">
      <alignment horizontal="left" readingOrder="0" vertical="center"/>
    </xf>
    <xf borderId="8" fillId="0" fontId="1" numFmtId="169" xfId="0" applyAlignment="1" applyBorder="1" applyFont="1" applyNumberFormat="1">
      <alignment vertical="bottom"/>
    </xf>
    <xf borderId="3" fillId="0" fontId="20" numFmtId="0" xfId="0" applyAlignment="1" applyBorder="1" applyFont="1">
      <alignment horizontal="left" vertical="center"/>
    </xf>
    <xf borderId="3" fillId="0" fontId="12" numFmtId="0" xfId="0" applyAlignment="1" applyBorder="1" applyFont="1">
      <alignment horizontal="left" vertical="center"/>
    </xf>
    <xf borderId="9" fillId="5" fontId="13" numFmtId="0" xfId="0" applyBorder="1" applyFill="1" applyFont="1"/>
    <xf borderId="0" fillId="5" fontId="13" numFmtId="0" xfId="0" applyFill="1" applyFont="1"/>
    <xf borderId="10" fillId="5" fontId="13" numFmtId="0" xfId="0" applyBorder="1" applyFill="1" applyFont="1"/>
    <xf borderId="0" fillId="0" fontId="1" numFmtId="169" xfId="0" applyAlignment="1" applyFont="1" applyNumberFormat="1">
      <alignment vertical="bottom"/>
    </xf>
    <xf borderId="8" fillId="0" fontId="25" numFmtId="0" xfId="0" applyBorder="1" applyFont="1"/>
    <xf borderId="0" fillId="5" fontId="26" numFmtId="170" xfId="0" applyAlignment="1" applyFill="1" applyFont="1" applyNumberFormat="1">
      <alignment horizontal="center" readingOrder="0" shrinkToFit="0" vertical="bottom" wrapText="0"/>
    </xf>
    <xf borderId="3" fillId="0" fontId="12" numFmtId="165" xfId="0" applyAlignment="1" applyBorder="1" applyFont="1" applyNumberFormat="1">
      <alignment horizontal="left" vertical="center"/>
    </xf>
    <xf borderId="0" fillId="0" fontId="27" numFmtId="0" xfId="0" applyAlignment="1" applyFont="1">
      <alignment horizontal="left" readingOrder="0" shrinkToFit="0" vertical="bottom" wrapText="0"/>
    </xf>
    <xf borderId="3" fillId="0" fontId="14" numFmtId="0" xfId="0" applyAlignment="1" applyBorder="1" applyFont="1">
      <alignment horizontal="left" readingOrder="0"/>
    </xf>
    <xf borderId="11" fillId="5" fontId="28" numFmtId="0" xfId="0" applyAlignment="1" applyBorder="1" applyFill="1" applyFont="1">
      <alignment horizontal="center" readingOrder="0" shrinkToFit="0" vertical="top" wrapText="0"/>
    </xf>
    <xf borderId="11" fillId="0" fontId="25" numFmtId="0" xfId="0" applyBorder="1" applyFont="1"/>
    <xf borderId="0" fillId="0" fontId="27" numFmtId="9" xfId="0" applyAlignment="1" applyFont="1" applyNumberFormat="1">
      <alignment horizontal="left" readingOrder="0" shrinkToFit="0" vertical="bottom" wrapText="0"/>
    </xf>
    <xf borderId="0" fillId="5" fontId="26" numFmtId="166" xfId="0" applyAlignment="1" applyFill="1" applyFont="1" applyNumberFormat="1">
      <alignment horizontal="center" readingOrder="0" shrinkToFit="0" vertical="bottom" wrapText="0"/>
    </xf>
    <xf borderId="10" fillId="5" fontId="13" numFmtId="0" xfId="0" applyAlignment="1" applyBorder="1" applyFill="1" applyFont="1">
      <alignment shrinkToFit="0" wrapText="0"/>
    </xf>
    <xf borderId="0" fillId="0" fontId="29" numFmtId="0" xfId="0" applyFont="1"/>
    <xf borderId="8" fillId="0" fontId="30" numFmtId="0" xfId="0" applyAlignment="1" applyBorder="1" applyFont="1">
      <alignment horizontal="right" readingOrder="0" vertical="bottom"/>
    </xf>
    <xf borderId="0" fillId="0" fontId="31" numFmtId="169" xfId="0" applyAlignment="1" applyFont="1" applyNumberFormat="1">
      <alignment horizontal="left" readingOrder="0" vertical="bottom"/>
    </xf>
    <xf borderId="0" fillId="0" fontId="23" numFmtId="169" xfId="0" applyAlignment="1" applyFont="1" applyNumberFormat="1">
      <alignment vertical="bottom"/>
    </xf>
    <xf borderId="0" fillId="5" fontId="28" numFmtId="9" xfId="0" applyAlignment="1" applyFill="1" applyFont="1" applyNumberFormat="1">
      <alignment horizontal="center" readingOrder="0" shrinkToFit="0" vertical="top" wrapText="0"/>
    </xf>
    <xf borderId="0" fillId="0" fontId="28" numFmtId="0" xfId="0" applyAlignment="1" applyFont="1">
      <alignment horizontal="left" readingOrder="0" shrinkToFit="0" vertical="top" wrapText="0"/>
    </xf>
    <xf borderId="8" fillId="0" fontId="28" numFmtId="166" xfId="0" applyAlignment="1" applyBorder="1" applyFont="1" applyNumberFormat="1">
      <alignment horizontal="center" readingOrder="0" vertical="top"/>
    </xf>
    <xf borderId="0" fillId="0" fontId="32" numFmtId="166" xfId="0" applyAlignment="1" applyFont="1" applyNumberFormat="1">
      <alignment horizontal="center" readingOrder="0" vertical="top"/>
    </xf>
    <xf borderId="0" fillId="0" fontId="13" numFmtId="0" xfId="0" applyAlignment="1" applyFont="1">
      <alignment vertical="center"/>
    </xf>
    <xf borderId="12" fillId="5" fontId="13" numFmtId="0" xfId="0" applyBorder="1" applyFill="1" applyFont="1"/>
    <xf borderId="13" fillId="5" fontId="13" numFmtId="0" xfId="0" applyBorder="1" applyFill="1" applyFont="1"/>
    <xf borderId="13" fillId="5" fontId="13" numFmtId="0" xfId="0" applyAlignment="1" applyBorder="1" applyFill="1" applyFont="1">
      <alignment readingOrder="0" vertical="top"/>
    </xf>
    <xf borderId="14" fillId="5" fontId="13" numFmtId="0" xfId="0" applyBorder="1" applyFill="1" applyFont="1"/>
    <xf borderId="0" fillId="0" fontId="13" numFmtId="0" xfId="0" applyAlignment="1" applyFont="1">
      <alignment readingOrder="0" vertical="top"/>
    </xf>
    <xf borderId="0" fillId="0" fontId="33" numFmtId="0" xfId="0" applyAlignment="1" applyFont="1">
      <alignment vertical="center"/>
    </xf>
    <xf borderId="0" fillId="0" fontId="30" numFmtId="0" xfId="0" applyAlignment="1" applyFont="1">
      <alignment horizontal="left" readingOrder="0" vertical="center"/>
    </xf>
    <xf borderId="0" fillId="0" fontId="33" numFmtId="0" xfId="0" applyAlignment="1" applyFont="1">
      <alignment horizontal="right" vertical="center"/>
    </xf>
    <xf borderId="0" fillId="0" fontId="20" numFmtId="0" xfId="0" applyAlignment="1" applyFont="1">
      <alignment vertical="center"/>
    </xf>
    <xf borderId="0" fillId="0" fontId="19" numFmtId="0" xfId="0" applyAlignment="1" applyFont="1">
      <alignment horizontal="left" vertical="center"/>
    </xf>
    <xf borderId="0" fillId="0" fontId="20" numFmtId="166" xfId="0" applyAlignment="1" applyFont="1" applyNumberFormat="1">
      <alignment horizontal="right" vertical="center"/>
    </xf>
    <xf borderId="0" fillId="4" fontId="20" numFmtId="0" xfId="0" applyAlignment="1" applyFill="1" applyFont="1">
      <alignment vertical="center"/>
    </xf>
    <xf borderId="15" fillId="0" fontId="12" numFmtId="14" xfId="0" applyAlignment="1" applyBorder="1" applyFont="1" applyNumberFormat="1">
      <alignment horizontal="left" vertical="center"/>
    </xf>
    <xf borderId="15" fillId="0" fontId="19" numFmtId="166" xfId="0" applyAlignment="1" applyBorder="1" applyFont="1" applyNumberFormat="1">
      <alignment horizontal="left" readingOrder="0" vertical="center"/>
    </xf>
    <xf borderId="0" fillId="0" fontId="34" numFmtId="0" xfId="0" applyAlignment="1" applyFont="1">
      <alignment horizontal="left" readingOrder="0" vertical="center"/>
    </xf>
    <xf borderId="15" fillId="0" fontId="20" numFmtId="0" xfId="0" applyAlignment="1" applyBorder="1" applyFont="1">
      <alignment horizontal="left" vertical="center"/>
    </xf>
    <xf borderId="15" fillId="0" fontId="12" numFmtId="0" xfId="0" applyAlignment="1" applyBorder="1" applyFont="1">
      <alignment horizontal="left" vertical="center"/>
    </xf>
    <xf borderId="0" fillId="0" fontId="15" numFmtId="166" xfId="0" applyAlignment="1" applyFont="1" applyNumberFormat="1">
      <alignment horizontal="right" readingOrder="0" vertical="center"/>
    </xf>
    <xf borderId="0" fillId="0" fontId="12" numFmtId="14" xfId="0" applyAlignment="1" applyFont="1" applyNumberFormat="1">
      <alignment horizontal="left" vertical="center"/>
    </xf>
    <xf borderId="0" fillId="0" fontId="19" numFmtId="166" xfId="0" applyAlignment="1" applyFont="1" applyNumberFormat="1">
      <alignment horizontal="left" readingOrder="0" vertical="center"/>
    </xf>
    <xf borderId="0" fillId="0" fontId="20" numFmtId="0" xfId="0" applyAlignment="1" applyFont="1">
      <alignment horizontal="left" vertical="center"/>
    </xf>
    <xf borderId="0" fillId="0" fontId="17" numFmtId="0" xfId="0" applyAlignment="1" applyFont="1">
      <alignment horizontal="left" vertical="center"/>
    </xf>
    <xf borderId="0" fillId="0" fontId="12" numFmtId="0" xfId="0" applyAlignment="1" applyFont="1">
      <alignment horizontal="left" vertical="center"/>
    </xf>
    <xf borderId="0" fillId="0" fontId="35" numFmtId="0" xfId="0" applyAlignment="1" applyFont="1">
      <alignment horizontal="left"/>
    </xf>
    <xf borderId="0" fillId="0" fontId="36" numFmtId="169" xfId="0" applyAlignment="1" applyFont="1" applyNumberFormat="1">
      <alignment horizontal="right"/>
    </xf>
    <xf borderId="0" fillId="4" fontId="1" numFmtId="0" xfId="0" applyAlignment="1" applyFill="1" applyFont="1">
      <alignment vertical="bottom"/>
    </xf>
    <xf borderId="0" fillId="0" fontId="37" numFmtId="0" xfId="0" applyAlignment="1" applyFont="1">
      <alignment vertical="top"/>
    </xf>
    <xf borderId="0" fillId="0" fontId="38" numFmtId="0" xfId="0" applyAlignment="1" applyFont="1">
      <alignment horizontal="left" vertical="top"/>
    </xf>
    <xf borderId="0" fillId="0" fontId="29" numFmtId="0" xfId="0" applyAlignment="1" applyFont="1">
      <alignment vertical="top"/>
    </xf>
    <xf borderId="0" fillId="0" fontId="37" numFmtId="0" xfId="0" applyAlignment="1" applyFont="1">
      <alignment horizontal="right" vertical="top"/>
    </xf>
    <xf borderId="0" fillId="0" fontId="6" numFmtId="0" xfId="0" applyAlignment="1" applyFont="1">
      <alignment horizontal="left" vertical="top"/>
    </xf>
    <xf borderId="0" fillId="0" fontId="39" numFmtId="0" xfId="0" applyAlignment="1" applyFont="1">
      <alignment horizontal="left" vertical="top"/>
    </xf>
    <xf borderId="16" fillId="0" fontId="15" numFmtId="0" xfId="0" applyAlignment="1" applyBorder="1" applyFont="1">
      <alignment vertical="bottom"/>
    </xf>
    <xf borderId="17" fillId="0" fontId="11" numFmtId="0" xfId="0" applyAlignment="1" applyBorder="1" applyFont="1">
      <alignment horizontal="right" vertical="bottom"/>
    </xf>
    <xf borderId="17" fillId="0" fontId="40" numFmtId="0" xfId="0" applyAlignment="1" applyBorder="1" applyFont="1">
      <alignment horizontal="left" vertical="bottom"/>
    </xf>
    <xf borderId="17" fillId="0" fontId="11" numFmtId="0" xfId="0" applyAlignment="1" applyBorder="1" applyFont="1">
      <alignment horizontal="right" readingOrder="0" vertical="bottom"/>
    </xf>
    <xf borderId="16" fillId="0" fontId="15" numFmtId="0" xfId="0" applyAlignment="1" applyBorder="1" applyFont="1">
      <alignment horizontal="right" vertical="bottom"/>
    </xf>
    <xf borderId="17" fillId="0" fontId="41" numFmtId="0" xfId="0" applyAlignment="1" applyBorder="1" applyFont="1">
      <alignment horizontal="left" vertical="bottom"/>
    </xf>
    <xf borderId="17" fillId="0" fontId="42" numFmtId="0" xfId="0" applyAlignment="1" applyBorder="1" applyFont="1">
      <alignment horizontal="left" vertical="bottom"/>
    </xf>
    <xf borderId="0" fillId="0" fontId="43" numFmtId="0" xfId="0" applyAlignment="1" applyFont="1">
      <alignment vertical="top"/>
    </xf>
    <xf borderId="18" fillId="0" fontId="43" numFmtId="0" xfId="0" applyAlignment="1" applyBorder="1" applyFont="1">
      <alignment readingOrder="0" vertical="top"/>
    </xf>
    <xf borderId="18" fillId="0" fontId="43" numFmtId="0" xfId="0" applyAlignment="1" applyBorder="1" applyFont="1">
      <alignment vertical="top"/>
    </xf>
    <xf borderId="18" fillId="0" fontId="43" numFmtId="166" xfId="0" applyAlignment="1" applyBorder="1" applyFont="1" applyNumberFormat="1">
      <alignment horizontal="right" vertical="top"/>
    </xf>
    <xf borderId="0" fillId="0" fontId="43" numFmtId="0" xfId="0" applyAlignment="1" applyFont="1">
      <alignment horizontal="right" vertical="top"/>
    </xf>
    <xf borderId="18" fillId="0" fontId="43" numFmtId="0" xfId="0" applyAlignment="1" applyBorder="1" applyFont="1">
      <alignment horizontal="left" readingOrder="0" vertical="top"/>
    </xf>
    <xf borderId="18" fillId="0" fontId="43" numFmtId="0" xfId="0" applyAlignment="1" applyBorder="1" applyFont="1">
      <alignment horizontal="right" readingOrder="0" vertical="top"/>
    </xf>
    <xf borderId="0" fillId="0" fontId="15" numFmtId="0" xfId="0" applyAlignment="1" applyFont="1">
      <alignment vertical="center"/>
    </xf>
    <xf borderId="19" fillId="0" fontId="44" numFmtId="169" xfId="0" applyAlignment="1" applyBorder="1" applyFont="1" applyNumberFormat="1">
      <alignment readingOrder="0" vertical="center"/>
    </xf>
    <xf borderId="20" fillId="0" fontId="25" numFmtId="0" xfId="0" applyBorder="1" applyFont="1"/>
    <xf borderId="21" fillId="0" fontId="45" numFmtId="166" xfId="0" applyAlignment="1" applyBorder="1" applyFont="1" applyNumberFormat="1">
      <alignment horizontal="right" readingOrder="0" vertical="center"/>
    </xf>
    <xf borderId="0" fillId="0" fontId="45" numFmtId="166" xfId="0" applyAlignment="1" applyFont="1" applyNumberFormat="1">
      <alignment horizontal="right" vertical="center"/>
    </xf>
    <xf borderId="0" fillId="0" fontId="15" numFmtId="0" xfId="0" applyAlignment="1" applyFont="1">
      <alignment horizontal="right" vertical="center"/>
    </xf>
    <xf borderId="22" fillId="0" fontId="44" numFmtId="169" xfId="0" applyAlignment="1" applyBorder="1" applyFont="1" applyNumberFormat="1">
      <alignment vertical="center"/>
    </xf>
    <xf borderId="23" fillId="0" fontId="25" numFmtId="0" xfId="0" applyBorder="1" applyFont="1"/>
    <xf borderId="24" fillId="0" fontId="45" numFmtId="166" xfId="0" applyAlignment="1" applyBorder="1" applyFont="1" applyNumberFormat="1">
      <alignment horizontal="right" readingOrder="0" vertical="center"/>
    </xf>
    <xf borderId="25" fillId="0" fontId="44" numFmtId="169" xfId="0" applyAlignment="1" applyBorder="1" applyFont="1" applyNumberFormat="1">
      <alignment readingOrder="0" vertical="center"/>
    </xf>
    <xf borderId="26" fillId="0" fontId="25" numFmtId="0" xfId="0" applyBorder="1" applyFont="1"/>
    <xf borderId="27" fillId="0" fontId="45" numFmtId="166" xfId="0" applyAlignment="1" applyBorder="1" applyFont="1" applyNumberFormat="1">
      <alignment horizontal="right" readingOrder="0" vertical="center"/>
    </xf>
    <xf borderId="0" fillId="0" fontId="25" numFmtId="0" xfId="0" applyFont="1"/>
    <xf borderId="0" fillId="0" fontId="1" numFmtId="0" xfId="0" applyAlignment="1" applyFont="1">
      <alignment readingOrder="0" vertical="center"/>
    </xf>
    <xf borderId="0" fillId="0" fontId="25" numFmtId="164" xfId="0" applyFont="1" applyNumberFormat="1"/>
    <xf borderId="0" fillId="0" fontId="25" numFmtId="167" xfId="0" applyFont="1" applyNumberFormat="1"/>
    <xf borderId="0" fillId="0" fontId="25" numFmtId="165" xfId="0" applyFont="1" applyNumberFormat="1"/>
    <xf borderId="0" fillId="0" fontId="12" numFmtId="166" xfId="0" applyAlignment="1" applyFont="1" applyNumberFormat="1">
      <alignment horizontal="right" vertical="center"/>
    </xf>
    <xf borderId="25" fillId="0" fontId="44" numFmtId="169" xfId="0" applyAlignment="1" applyBorder="1" applyFont="1" applyNumberFormat="1">
      <alignment vertical="center"/>
    </xf>
    <xf borderId="0" fillId="0" fontId="25" numFmtId="14" xfId="0" applyFont="1" applyNumberFormat="1"/>
    <xf borderId="0" fillId="0" fontId="1" numFmtId="0" xfId="0" applyAlignment="1" applyFont="1">
      <alignment horizontal="right" vertical="center"/>
    </xf>
    <xf borderId="27" fillId="0" fontId="45" numFmtId="166" xfId="0" applyAlignment="1" applyBorder="1" applyFont="1" applyNumberFormat="1">
      <alignment readingOrder="0" vertical="center"/>
    </xf>
    <xf borderId="28" fillId="0" fontId="25" numFmtId="0" xfId="0" applyBorder="1" applyFont="1"/>
    <xf borderId="0" fillId="0" fontId="1" numFmtId="14" xfId="0" applyAlignment="1" applyFont="1" applyNumberFormat="1">
      <alignment horizontal="right" vertical="center"/>
    </xf>
    <xf borderId="25" fillId="0" fontId="46" numFmtId="0" xfId="0" applyAlignment="1" applyBorder="1" applyFont="1">
      <alignment readingOrder="0"/>
    </xf>
    <xf borderId="27" fillId="0" fontId="47" numFmtId="169" xfId="0" applyAlignment="1" applyBorder="1" applyFont="1" applyNumberFormat="1">
      <alignment readingOrder="0"/>
    </xf>
    <xf borderId="0" fillId="0" fontId="45" numFmtId="169" xfId="0" applyAlignment="1" applyFont="1" applyNumberFormat="1">
      <alignment horizontal="right" vertical="center"/>
    </xf>
    <xf borderId="0" fillId="0" fontId="12" numFmtId="171" xfId="0" applyAlignment="1" applyFont="1" applyNumberFormat="1">
      <alignment horizontal="right" vertical="center"/>
    </xf>
    <xf borderId="27" fillId="0" fontId="45" numFmtId="166" xfId="0" applyAlignment="1" applyBorder="1" applyFont="1" applyNumberFormat="1">
      <alignment horizontal="right" readingOrder="0"/>
    </xf>
    <xf borderId="0" fillId="0" fontId="45" numFmtId="166" xfId="0" applyAlignment="1" applyFont="1" applyNumberFormat="1">
      <alignment horizontal="right" readingOrder="0" vertical="center"/>
    </xf>
    <xf borderId="27" fillId="0" fontId="46" numFmtId="0" xfId="0" applyAlignment="1" applyBorder="1" applyFont="1">
      <alignment readingOrder="0"/>
    </xf>
    <xf borderId="0" fillId="0" fontId="44" numFmtId="169" xfId="0" applyAlignment="1" applyFont="1" applyNumberFormat="1">
      <alignment readingOrder="0" vertical="center"/>
    </xf>
    <xf borderId="0" fillId="0" fontId="45" numFmtId="169" xfId="0" applyAlignment="1" applyFont="1" applyNumberFormat="1">
      <alignment horizontal="right" readingOrder="0" vertical="center"/>
    </xf>
    <xf borderId="0" fillId="0" fontId="46" numFmtId="0" xfId="0" applyAlignment="1" applyFont="1">
      <alignment readingOrder="0"/>
    </xf>
    <xf borderId="0" fillId="0" fontId="47" numFmtId="169" xfId="0" applyAlignment="1" applyFont="1" applyNumberForma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FCECE6"/>
          <bgColor rgb="FFFCECE6"/>
        </patternFill>
      </fill>
      <border/>
    </dxf>
    <dxf>
      <font>
        <color rgb="FFC53929"/>
      </font>
      <fill>
        <patternFill patternType="none"/>
      </fill>
      <border/>
    </dxf>
    <dxf>
      <font>
        <color rgb="FF68788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Planned Expense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AB30C4"/>
              </a:solidFill>
            </c:spPr>
          </c:dPt>
          <c:dPt>
            <c:idx val="7"/>
            <c:spPr>
              <a:solidFill>
                <a:srgbClr val="C1BC1F"/>
              </a:solidFill>
            </c:spPr>
          </c:dPt>
          <c:dPt>
            <c:idx val="8"/>
            <c:spPr>
              <a:solidFill>
                <a:srgbClr val="3949AB"/>
              </a:solidFill>
            </c:spPr>
          </c:dPt>
          <c:dPt>
            <c:idx val="9"/>
            <c:spPr>
              <a:solidFill>
                <a:srgbClr val="F975A8"/>
              </a:solidFill>
            </c:spPr>
          </c:dPt>
          <c:dPt>
            <c:idx val="10"/>
            <c:spPr>
              <a:solidFill>
                <a:srgbClr val="00695C"/>
              </a:solidFill>
            </c:spPr>
          </c:dPt>
          <c:dPt>
            <c:idx val="11"/>
            <c:spPr>
              <a:solidFill>
                <a:srgbClr val="C2185B"/>
              </a:solidFill>
            </c:spPr>
          </c:dPt>
          <c:dPt>
            <c:idx val="12"/>
            <c:spPr>
              <a:solidFill>
                <a:srgbClr val="8E7CC3"/>
              </a:solidFill>
            </c:spPr>
          </c:dPt>
          <c:dPt>
            <c:idx val="13"/>
            <c:spPr>
              <a:solidFill>
                <a:srgbClr val="DB4437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Summary!$B$28:$B$41</c:f>
            </c:strRef>
          </c:cat>
          <c:val>
            <c:numRef>
              <c:f>Summary!$D$28:$D$41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Planned v/s Actual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Planned</c:v>
          </c:tx>
          <c:spPr>
            <a:solidFill>
              <a:srgbClr val="4A86E8"/>
            </a:solidFill>
            <a:ln cmpd="sng">
              <a:noFill/>
            </a:ln>
          </c:spPr>
          <c:invertIfNegative val="0"/>
          <c:cat>
            <c:strRef>
              <c:f>Summary!$B$28:$B$41</c:f>
            </c:strRef>
          </c:cat>
          <c:val>
            <c:numRef>
              <c:f>Summary!$C$28:$C$41</c:f>
              <c:numCache/>
            </c:numRef>
          </c:val>
        </c:ser>
        <c:ser>
          <c:idx val="1"/>
          <c:order val="1"/>
          <c:tx>
            <c:v>Actual</c:v>
          </c:tx>
          <c:spPr>
            <a:solidFill>
              <a:srgbClr val="CC4125"/>
            </a:solidFill>
            <a:ln cmpd="sng">
              <a:noFill/>
            </a:ln>
          </c:spPr>
          <c:invertIfNegative val="0"/>
          <c:cat>
            <c:strRef>
              <c:f>Summary!$B$28:$B$41</c:f>
            </c:strRef>
          </c:cat>
          <c:val>
            <c:numRef>
              <c:f>Summary!$D$28:$D$41</c:f>
              <c:numCache/>
            </c:numRef>
          </c:val>
        </c:ser>
        <c:ser>
          <c:idx val="2"/>
          <c:order val="2"/>
          <c:invertIfNegative val="0"/>
          <c:cat>
            <c:strRef>
              <c:f>Summary!$B$28:$B$41</c:f>
            </c:strRef>
          </c:cat>
          <c:val>
            <c:numRef>
              <c:f>Summary!$E$28:$E$41</c:f>
              <c:numCache/>
            </c:numRef>
          </c:val>
        </c:ser>
        <c:axId val="105523472"/>
        <c:axId val="2001787294"/>
      </c:barChart>
      <c:catAx>
        <c:axId val="105523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01787294"/>
      </c:catAx>
      <c:valAx>
        <c:axId val="20017872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Expense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5523472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Actual Expense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AB30C4"/>
              </a:solidFill>
            </c:spPr>
          </c:dPt>
          <c:dPt>
            <c:idx val="7"/>
            <c:spPr>
              <a:solidFill>
                <a:srgbClr val="C1BC1F"/>
              </a:solidFill>
            </c:spPr>
          </c:dPt>
          <c:dPt>
            <c:idx val="8"/>
            <c:spPr>
              <a:solidFill>
                <a:srgbClr val="3949AB"/>
              </a:solidFill>
            </c:spPr>
          </c:dPt>
          <c:dPt>
            <c:idx val="9"/>
            <c:spPr>
              <a:solidFill>
                <a:srgbClr val="F975A8"/>
              </a:solidFill>
            </c:spPr>
          </c:dPt>
          <c:dPt>
            <c:idx val="10"/>
            <c:spPr>
              <a:solidFill>
                <a:srgbClr val="00695C"/>
              </a:solidFill>
            </c:spPr>
          </c:dPt>
          <c:dPt>
            <c:idx val="11"/>
            <c:spPr>
              <a:solidFill>
                <a:srgbClr val="C2185B"/>
              </a:solidFill>
            </c:spPr>
          </c:dPt>
          <c:dPt>
            <c:idx val="12"/>
            <c:spPr>
              <a:solidFill>
                <a:srgbClr val="8E7CC3"/>
              </a:solidFill>
            </c:spPr>
          </c:dPt>
          <c:dPt>
            <c:idx val="13"/>
            <c:spPr>
              <a:solidFill>
                <a:srgbClr val="DB4437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Summary!$B$28:$B$41</c:f>
            </c:strRef>
          </c:cat>
          <c:val>
            <c:numRef>
              <c:f>Summary!$E$28:$E$41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9525</xdr:colOff>
      <xdr:row>35</xdr:row>
      <xdr:rowOff>133350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9525</xdr:colOff>
      <xdr:row>17</xdr:row>
      <xdr:rowOff>161925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13"/>
    <col customWidth="1" min="2" max="12" width="8.88"/>
    <col customWidth="1" min="13" max="13" width="6.13"/>
  </cols>
  <sheetData>
    <row r="1" ht="12.0" customHeight="1">
      <c r="A1" s="1"/>
      <c r="B1" s="1"/>
      <c r="C1" s="1"/>
      <c r="D1" s="1"/>
      <c r="E1" s="1"/>
      <c r="F1" s="1"/>
      <c r="G1" s="3"/>
      <c r="H1" s="1"/>
      <c r="I1" s="1"/>
      <c r="J1" s="1"/>
      <c r="K1" s="1"/>
      <c r="L1" s="1"/>
      <c r="M1" s="1"/>
    </row>
    <row r="2" ht="21.0" customHeight="1">
      <c r="A2" s="5"/>
      <c r="B2" s="8" t="s">
        <v>2</v>
      </c>
      <c r="I2" s="9" t="s">
        <v>3</v>
      </c>
      <c r="M2" s="5"/>
    </row>
    <row r="3" ht="16.5" customHeight="1">
      <c r="A3" s="10"/>
      <c r="B3" s="12" t="s">
        <v>5</v>
      </c>
      <c r="H3" s="14"/>
      <c r="I3" s="15" t="s">
        <v>6</v>
      </c>
      <c r="M3" s="17"/>
    </row>
    <row r="4" ht="10.5" customHeight="1">
      <c r="A4" s="10"/>
      <c r="H4" s="14"/>
      <c r="I4" s="4" t="s">
        <v>8</v>
      </c>
    </row>
    <row r="5">
      <c r="A5" s="10"/>
      <c r="B5" s="12" t="s">
        <v>12</v>
      </c>
      <c r="H5" s="14"/>
    </row>
    <row r="6" ht="23.25" customHeight="1">
      <c r="A6" s="19"/>
      <c r="H6" s="20"/>
      <c r="I6" s="21"/>
      <c r="J6" s="21"/>
      <c r="K6" s="21"/>
      <c r="L6" s="21"/>
      <c r="M6" s="21"/>
    </row>
    <row r="7" ht="30.0" customHeight="1">
      <c r="A7" s="11"/>
      <c r="B7" s="24"/>
      <c r="C7" s="24"/>
      <c r="D7" s="24"/>
      <c r="E7" s="26"/>
      <c r="F7" s="27"/>
      <c r="G7" s="28"/>
      <c r="H7" s="27"/>
      <c r="I7" s="27"/>
      <c r="J7" s="27"/>
      <c r="K7" s="27"/>
      <c r="L7" s="27"/>
      <c r="M7" s="27"/>
    </row>
    <row r="8" ht="18.0" customHeight="1">
      <c r="A8" s="29"/>
      <c r="B8" s="30" t="s">
        <v>13</v>
      </c>
      <c r="F8" s="27"/>
      <c r="G8" s="31"/>
      <c r="H8" s="27"/>
      <c r="I8" s="32"/>
      <c r="J8" s="34" t="s">
        <v>14</v>
      </c>
      <c r="L8" s="36">
        <v>0.0</v>
      </c>
      <c r="M8" s="27"/>
    </row>
    <row r="9" ht="18.0" customHeight="1">
      <c r="A9" s="29"/>
      <c r="F9" s="27"/>
      <c r="G9" s="31"/>
      <c r="H9" s="27"/>
      <c r="I9" s="39"/>
      <c r="J9" s="27"/>
      <c r="K9" s="27"/>
      <c r="L9" s="31"/>
      <c r="M9" s="27"/>
    </row>
    <row r="10" ht="18.0" customHeight="1">
      <c r="A10" s="27"/>
      <c r="B10" s="41"/>
      <c r="C10" s="41"/>
      <c r="D10" s="41"/>
      <c r="E10" s="41"/>
      <c r="F10" s="27"/>
      <c r="G10" s="31"/>
      <c r="H10" s="27"/>
      <c r="I10" s="39"/>
      <c r="J10" s="27"/>
      <c r="K10" s="27"/>
      <c r="L10" s="31"/>
      <c r="M10" s="27"/>
    </row>
    <row r="11" ht="12.0" customHeight="1">
      <c r="A11" s="11"/>
      <c r="B11" s="43"/>
      <c r="C11" s="43"/>
      <c r="D11" s="44"/>
      <c r="E11" s="11"/>
      <c r="F11" s="11"/>
      <c r="G11" s="32"/>
      <c r="H11" s="47"/>
      <c r="I11" s="48"/>
      <c r="J11" s="48"/>
      <c r="K11" s="48"/>
      <c r="L11" s="50"/>
      <c r="M11" s="11"/>
    </row>
    <row r="12" ht="18.0" customHeight="1">
      <c r="A12" s="32"/>
      <c r="B12" s="11"/>
      <c r="C12" s="32"/>
      <c r="D12" s="57" t="str">
        <f>IFERROR(__xludf.DUMMYFUNCTION("SPARKLINE(D17,{""charttype"",""column"";""ymin"", 0; ""ymax"",MAX(D17:E17);""firstcolor"",""#334960""})"),"")</f>
        <v/>
      </c>
      <c r="E12" s="11" t="str">
        <f>IFERROR(__xludf.DUMMYFUNCTION("SPARKLINE(E17,{""charttype"",""column"";""ymin"", 0; ""ymax"",max(D17:E17);""firstcolor"",""#f46524""})"),"")</f>
        <v/>
      </c>
      <c r="F12" s="11"/>
      <c r="G12" s="11"/>
      <c r="H12" s="60"/>
      <c r="I12" s="61"/>
      <c r="J12" s="61"/>
      <c r="K12" s="61"/>
      <c r="L12" s="62"/>
      <c r="M12" s="32"/>
    </row>
    <row r="13" ht="18.0" customHeight="1">
      <c r="A13" s="32"/>
      <c r="B13" s="11"/>
      <c r="C13" s="63"/>
      <c r="D13" s="64"/>
      <c r="F13" s="11"/>
      <c r="G13" s="11"/>
      <c r="H13" s="60"/>
      <c r="I13" s="65" t="str">
        <f>iferror(E17/D17-1, "")</f>
        <v/>
      </c>
      <c r="L13" s="62"/>
      <c r="M13" s="67"/>
    </row>
    <row r="14" ht="24.0" customHeight="1">
      <c r="A14" s="11"/>
      <c r="B14" s="11"/>
      <c r="C14" s="63"/>
      <c r="D14" s="64"/>
      <c r="F14" s="11"/>
      <c r="G14" s="11"/>
      <c r="H14" s="60"/>
      <c r="I14" s="69" t="str">
        <f>if(I13 &lt; 0, "Decrease in total savings", "Increase in total savings")</f>
        <v>Increase in total savings</v>
      </c>
      <c r="J14" s="70"/>
      <c r="K14" s="70"/>
      <c r="L14" s="62"/>
      <c r="M14" s="71"/>
    </row>
    <row r="15" ht="39.75" customHeight="1">
      <c r="A15" s="11"/>
      <c r="B15" s="11"/>
      <c r="C15" s="63"/>
      <c r="D15" s="64"/>
      <c r="F15" s="11"/>
      <c r="G15" s="63"/>
      <c r="H15" s="60"/>
      <c r="I15" s="72">
        <f>iferror(E17-D17, 0)</f>
        <v>87160</v>
      </c>
      <c r="L15" s="73"/>
      <c r="M15" s="71"/>
    </row>
    <row r="16" ht="18.0" customHeight="1">
      <c r="A16" s="11"/>
      <c r="B16" s="43"/>
      <c r="C16" s="74"/>
      <c r="D16" s="75" t="s">
        <v>42</v>
      </c>
      <c r="E16" s="76" t="s">
        <v>43</v>
      </c>
      <c r="F16" s="74"/>
      <c r="G16" s="77"/>
      <c r="H16" s="60"/>
      <c r="I16" s="78" t="str">
        <f>if(J15&lt;0, "Spent this month", "Saved this month")</f>
        <v>Saved this month</v>
      </c>
      <c r="L16" s="62"/>
      <c r="M16" s="79"/>
    </row>
    <row r="17" ht="18.0" customHeight="1">
      <c r="A17" s="32"/>
      <c r="B17" s="11"/>
      <c r="C17" s="32"/>
      <c r="D17" s="80">
        <f>if(isblank(L8),0,L8)</f>
        <v>0</v>
      </c>
      <c r="E17" s="81">
        <f>D17+(I22-C22)</f>
        <v>87160</v>
      </c>
      <c r="F17" s="32"/>
      <c r="G17" s="63"/>
      <c r="H17" s="60"/>
      <c r="I17" s="61"/>
      <c r="L17" s="62"/>
      <c r="M17" s="32"/>
    </row>
    <row r="18" ht="12.0" customHeight="1">
      <c r="A18" s="32"/>
      <c r="B18" s="82"/>
      <c r="C18" s="82"/>
      <c r="D18" s="82"/>
      <c r="E18" s="82"/>
      <c r="F18" s="82"/>
      <c r="G18" s="32"/>
      <c r="H18" s="83"/>
      <c r="I18" s="84"/>
      <c r="J18" s="85"/>
      <c r="K18" s="84"/>
      <c r="L18" s="86"/>
      <c r="M18" s="32"/>
    </row>
    <row r="19" ht="24.0" customHeight="1">
      <c r="A19" s="32"/>
      <c r="B19" s="82"/>
      <c r="C19" s="82"/>
      <c r="D19" s="82"/>
      <c r="E19" s="82"/>
      <c r="F19" s="82"/>
      <c r="G19" s="32"/>
      <c r="H19" s="32"/>
      <c r="I19" s="32"/>
      <c r="J19" s="87"/>
      <c r="K19" s="32"/>
      <c r="L19" s="32"/>
      <c r="M19" s="32"/>
    </row>
    <row r="20" ht="24.0" customHeight="1">
      <c r="A20" s="88"/>
      <c r="B20" s="89" t="s">
        <v>1</v>
      </c>
      <c r="G20" s="88"/>
      <c r="H20" s="89" t="s">
        <v>4</v>
      </c>
      <c r="I20" s="89"/>
      <c r="J20" s="90"/>
      <c r="K20" s="88"/>
      <c r="L20" s="88"/>
      <c r="M20" s="88"/>
    </row>
    <row r="21" ht="19.5" customHeight="1">
      <c r="A21" s="91"/>
      <c r="B21" s="92" t="s">
        <v>54</v>
      </c>
      <c r="C21" s="93">
        <f>D26</f>
        <v>61199</v>
      </c>
      <c r="D21" s="94" t="str">
        <f>IFERROR(__xludf.DUMMYFUNCTION("SPARKLINE(C21,{""charttype"",""bar"";""max"",max(C21:C22);""color1"",""#AEB7C0""})"),"")</f>
        <v/>
      </c>
      <c r="G21" s="91"/>
      <c r="H21" s="92" t="s">
        <v>54</v>
      </c>
      <c r="I21" s="93">
        <f>J26</f>
        <v>182500</v>
      </c>
      <c r="J21" s="94" t="str">
        <f>IFERROR(__xludf.DUMMYFUNCTION("SPARKLINE(I21,{""charttype"",""bar"";""max"",max(I21:I22);""color1"",""#AEB7C0""})"),"")</f>
        <v/>
      </c>
      <c r="M21" s="91"/>
    </row>
    <row r="22" ht="19.5" customHeight="1">
      <c r="A22" s="16"/>
      <c r="B22" s="97" t="s">
        <v>59</v>
      </c>
      <c r="C22" s="100">
        <f>E26</f>
        <v>95108</v>
      </c>
      <c r="D22" s="104" t="str">
        <f>IFERROR(__xludf.DUMMYFUNCTION("SPARKLINE(C22,{""charttype"",""bar"";""max"",max(C21:C22);""color1"",""#334960""})"),"")</f>
        <v/>
      </c>
      <c r="G22" s="82"/>
      <c r="H22" s="97" t="s">
        <v>59</v>
      </c>
      <c r="I22" s="100">
        <f>K26</f>
        <v>182268</v>
      </c>
      <c r="J22" s="104" t="str">
        <f>IFERROR(__xludf.DUMMYFUNCTION("SPARKLINE(I22,{""charttype"",""bar"";""max"",max(I21:I22);""color1"",""#334960""})"),"")</f>
        <v/>
      </c>
      <c r="M22" s="16"/>
    </row>
    <row r="23" ht="30.0" customHeight="1">
      <c r="A23" s="11"/>
      <c r="B23" s="106"/>
      <c r="C23" s="107"/>
      <c r="D23" s="108"/>
      <c r="G23" s="11"/>
      <c r="H23" s="106"/>
      <c r="I23" s="107"/>
      <c r="J23" s="108"/>
      <c r="M23" s="16"/>
    </row>
    <row r="24" ht="29.25" customHeight="1">
      <c r="A24" s="109"/>
      <c r="B24" s="110" t="s">
        <v>1</v>
      </c>
      <c r="D24" s="111"/>
      <c r="E24" s="111"/>
      <c r="F24" s="111"/>
      <c r="G24" s="112"/>
      <c r="H24" s="113" t="s">
        <v>4</v>
      </c>
      <c r="I24" s="114"/>
      <c r="J24" s="111"/>
      <c r="K24" s="111"/>
      <c r="L24" s="111"/>
      <c r="M24" s="109"/>
    </row>
    <row r="25" ht="19.5" customHeight="1">
      <c r="A25" s="115"/>
      <c r="B25" s="116"/>
      <c r="C25" s="117"/>
      <c r="D25" s="116" t="s">
        <v>54</v>
      </c>
      <c r="E25" s="118" t="s">
        <v>59</v>
      </c>
      <c r="F25" s="118" t="s">
        <v>65</v>
      </c>
      <c r="G25" s="119"/>
      <c r="H25" s="120"/>
      <c r="I25" s="121"/>
      <c r="J25" s="116" t="s">
        <v>54</v>
      </c>
      <c r="K25" s="118" t="s">
        <v>59</v>
      </c>
      <c r="L25" s="118" t="s">
        <v>65</v>
      </c>
      <c r="M25" s="115"/>
    </row>
    <row r="26" ht="17.25" customHeight="1">
      <c r="A26" s="122"/>
      <c r="B26" s="123" t="s">
        <v>67</v>
      </c>
      <c r="C26" s="124"/>
      <c r="D26" s="125">
        <f t="shared" ref="D26:F26" si="1">sum(D27:D44)</f>
        <v>61199</v>
      </c>
      <c r="E26" s="125">
        <f t="shared" si="1"/>
        <v>95108</v>
      </c>
      <c r="F26" s="125">
        <f t="shared" si="1"/>
        <v>-33909</v>
      </c>
      <c r="G26" s="126"/>
      <c r="H26" s="127" t="s">
        <v>67</v>
      </c>
      <c r="I26" s="128"/>
      <c r="J26" s="125">
        <f t="shared" ref="J26:L26" si="2">sum(J27:J42)</f>
        <v>182500</v>
      </c>
      <c r="K26" s="125">
        <f t="shared" si="2"/>
        <v>182268</v>
      </c>
      <c r="L26" s="125">
        <f t="shared" si="2"/>
        <v>-232</v>
      </c>
      <c r="M26" s="122"/>
    </row>
    <row r="27" ht="18.0" hidden="1" customHeight="1">
      <c r="A27" s="129"/>
      <c r="B27" s="130"/>
      <c r="C27" s="131"/>
      <c r="D27" s="132"/>
      <c r="E27" s="133" t="str">
        <f>if(isblank($B27), "", sumif(Transactions!$F:$F,$B27,Transactions!$D:$D))</f>
        <v/>
      </c>
      <c r="F27" s="133" t="str">
        <f t="shared" ref="F27:F41" si="3">if(isblank($B27), "", D27-E27)</f>
        <v/>
      </c>
      <c r="G27" s="134"/>
      <c r="H27" s="135"/>
      <c r="I27" s="136"/>
      <c r="J27" s="137"/>
      <c r="K27" s="133" t="str">
        <f>if(isblank($H27), "", sumif(Transactions!$K:$K,$H27,Transactions!$I:$I))</f>
        <v/>
      </c>
      <c r="L27" s="133" t="str">
        <f t="shared" ref="L27:L40" si="4">if(isblank($H27), "", K27-J27)</f>
        <v/>
      </c>
      <c r="M27" s="129"/>
    </row>
    <row r="28" ht="18.0" customHeight="1">
      <c r="A28" s="129"/>
      <c r="B28" s="138" t="s">
        <v>27</v>
      </c>
      <c r="C28" s="139"/>
      <c r="D28" s="140">
        <v>8000.0</v>
      </c>
      <c r="E28" s="133">
        <f>if(isblank($B28), "", sumif(Transactions!$F:$F,$B28,Transactions!$D:$D))</f>
        <v>17428</v>
      </c>
      <c r="F28" s="146">
        <f t="shared" si="3"/>
        <v>-9428</v>
      </c>
      <c r="G28" s="134"/>
      <c r="H28" s="147" t="s">
        <v>79</v>
      </c>
      <c r="I28" s="139"/>
      <c r="J28" s="140">
        <v>0.0</v>
      </c>
      <c r="K28" s="133">
        <f>if(isblank($H28), "", sumif(Transactions!$K:$K,$H28,Transactions!$I:$I))</f>
        <v>0</v>
      </c>
      <c r="L28" s="146">
        <f t="shared" si="4"/>
        <v>0</v>
      </c>
      <c r="M28" s="129"/>
    </row>
    <row r="29" ht="18.0" customHeight="1">
      <c r="A29" s="129"/>
      <c r="B29" s="138" t="s">
        <v>16</v>
      </c>
      <c r="C29" s="139"/>
      <c r="D29" s="140">
        <v>3000.0</v>
      </c>
      <c r="E29" s="133">
        <f>if(isblank($B29), "", sumif(Transactions!$F:$F,$B29,Transactions!$D:$D))</f>
        <v>3870</v>
      </c>
      <c r="F29" s="146">
        <f t="shared" si="3"/>
        <v>-870</v>
      </c>
      <c r="G29" s="134"/>
      <c r="H29" s="147" t="s">
        <v>18</v>
      </c>
      <c r="I29" s="139"/>
      <c r="J29" s="140">
        <v>182000.0</v>
      </c>
      <c r="K29" s="133">
        <f>if(isblank($H29), "", sumif(Transactions!$K:$K,$H29,Transactions!$I:$I))</f>
        <v>182000</v>
      </c>
      <c r="L29" s="146">
        <f t="shared" si="4"/>
        <v>0</v>
      </c>
      <c r="M29" s="129"/>
    </row>
    <row r="30" ht="18.0" customHeight="1">
      <c r="A30" s="16"/>
      <c r="B30" s="147" t="s">
        <v>23</v>
      </c>
      <c r="C30" s="139"/>
      <c r="D30" s="140">
        <v>10000.0</v>
      </c>
      <c r="E30" s="133">
        <f>if(isblank($B30), "", sumif(Transactions!$F:$F,$B30,Transactions!$D:$D))</f>
        <v>29508</v>
      </c>
      <c r="F30" s="146">
        <f t="shared" si="3"/>
        <v>-19508</v>
      </c>
      <c r="G30" s="149"/>
      <c r="H30" s="147" t="s">
        <v>86</v>
      </c>
      <c r="I30" s="139"/>
      <c r="J30" s="140">
        <v>0.0</v>
      </c>
      <c r="K30" s="133">
        <f>if(isblank($H30), "", sumif(Transactions!$K:$K,$H30,Transactions!$I:$I))</f>
        <v>0</v>
      </c>
      <c r="L30" s="146">
        <f t="shared" si="4"/>
        <v>0</v>
      </c>
      <c r="M30" s="16"/>
    </row>
    <row r="31" ht="18.0" customHeight="1">
      <c r="A31" s="16"/>
      <c r="B31" s="138" t="s">
        <v>29</v>
      </c>
      <c r="C31" s="139"/>
      <c r="D31" s="140">
        <v>22000.0</v>
      </c>
      <c r="E31" s="133">
        <f>if(isblank($B31), "", sumif(Transactions!$F:$F,$B31,Transactions!$D:$D))</f>
        <v>22000</v>
      </c>
      <c r="F31" s="146">
        <f t="shared" si="3"/>
        <v>0</v>
      </c>
      <c r="G31" s="149"/>
      <c r="H31" s="147" t="s">
        <v>88</v>
      </c>
      <c r="I31" s="139"/>
      <c r="J31" s="140">
        <v>0.0</v>
      </c>
      <c r="K31" s="133">
        <f>if(isblank($H31), "", sumif(Transactions!$K:$K,$H31,Transactions!$I:$I))</f>
        <v>0</v>
      </c>
      <c r="L31" s="146">
        <f t="shared" si="4"/>
        <v>0</v>
      </c>
      <c r="M31" s="16"/>
    </row>
    <row r="32" ht="18.0" customHeight="1">
      <c r="A32" s="16"/>
      <c r="B32" s="138" t="s">
        <v>89</v>
      </c>
      <c r="C32" s="139"/>
      <c r="D32" s="140">
        <v>0.0</v>
      </c>
      <c r="E32" s="133">
        <f>if(isblank($B32), "", sumif(Transactions!$F:$F,$B32,Transactions!$D:$D))</f>
        <v>0</v>
      </c>
      <c r="F32" s="146">
        <f t="shared" si="3"/>
        <v>0</v>
      </c>
      <c r="G32" s="149"/>
      <c r="H32" s="147" t="s">
        <v>21</v>
      </c>
      <c r="I32" s="139"/>
      <c r="J32" s="140">
        <v>500.0</v>
      </c>
      <c r="K32" s="133">
        <f>if(isblank($H32), "", sumif(Transactions!$K:$K,$H32,Transactions!$I:$I))</f>
        <v>268</v>
      </c>
      <c r="L32" s="146">
        <f t="shared" si="4"/>
        <v>-232</v>
      </c>
      <c r="M32" s="16"/>
    </row>
    <row r="33" ht="18.0" customHeight="1">
      <c r="A33" s="16"/>
      <c r="B33" s="138" t="s">
        <v>40</v>
      </c>
      <c r="C33" s="139"/>
      <c r="D33" s="140">
        <v>2000.0</v>
      </c>
      <c r="E33" s="133">
        <f>if(isblank($B33), "", sumif(Transactions!$F:$F,$B33,Transactions!$D:$D))</f>
        <v>880</v>
      </c>
      <c r="F33" s="146">
        <f t="shared" si="3"/>
        <v>1120</v>
      </c>
      <c r="G33" s="149"/>
      <c r="H33" s="138" t="s">
        <v>95</v>
      </c>
      <c r="I33" s="139"/>
      <c r="J33" s="150">
        <v>0.0</v>
      </c>
      <c r="K33" s="133">
        <f>if(isblank($H33), "", sumif(Transactions!$K:$K,$H33,Transactions!$I:$I))</f>
        <v>0</v>
      </c>
      <c r="L33" s="146">
        <f t="shared" si="4"/>
        <v>0</v>
      </c>
      <c r="M33" s="16"/>
    </row>
    <row r="34" ht="18.0" customHeight="1">
      <c r="A34" s="16"/>
      <c r="B34" s="138" t="s">
        <v>69</v>
      </c>
      <c r="C34" s="151"/>
      <c r="D34" s="140">
        <v>199.0</v>
      </c>
      <c r="E34" s="133">
        <f>if(isblank($B34), "", sumif(Transactions!$F:$F,$B34,Transactions!$D:$D))</f>
        <v>199</v>
      </c>
      <c r="F34" s="146">
        <f t="shared" si="3"/>
        <v>0</v>
      </c>
      <c r="G34" s="152"/>
      <c r="H34" s="153"/>
      <c r="I34" s="139"/>
      <c r="J34" s="154"/>
      <c r="K34" s="155" t="str">
        <f>if(isblank($H34), "", sumif(Transactions!$K:$K,$H34,Transactions!$I:$I))</f>
        <v/>
      </c>
      <c r="L34" s="156" t="str">
        <f t="shared" si="4"/>
        <v/>
      </c>
      <c r="M34" s="16"/>
    </row>
    <row r="35" ht="18.0" customHeight="1">
      <c r="A35" s="16"/>
      <c r="B35" s="138" t="s">
        <v>98</v>
      </c>
      <c r="C35" s="151"/>
      <c r="D35" s="140">
        <v>5000.0</v>
      </c>
      <c r="E35" s="133">
        <f>if(isblank($B35), "", sumif(Transactions!$F:$F,$B35,Transactions!$D:$D))</f>
        <v>0</v>
      </c>
      <c r="F35" s="146">
        <f t="shared" si="3"/>
        <v>5000</v>
      </c>
      <c r="G35" s="149"/>
      <c r="H35" s="153"/>
      <c r="I35" s="139"/>
      <c r="J35" s="154"/>
      <c r="K35" s="155" t="str">
        <f>if(isblank($H35), "", sumif(Transactions!$K:$K,$H35,Transactions!$I:$I))</f>
        <v/>
      </c>
      <c r="L35" s="156" t="str">
        <f t="shared" si="4"/>
        <v/>
      </c>
      <c r="M35" s="16"/>
    </row>
    <row r="36" ht="18.0" customHeight="1">
      <c r="A36" s="16"/>
      <c r="B36" s="147" t="s">
        <v>36</v>
      </c>
      <c r="C36" s="151"/>
      <c r="D36" s="140">
        <v>3000.0</v>
      </c>
      <c r="E36" s="133">
        <f>if(isblank($B36), "", sumif(Transactions!$F:$F,$B36,Transactions!$D:$D))</f>
        <v>17282</v>
      </c>
      <c r="F36" s="146">
        <f t="shared" si="3"/>
        <v>-14282</v>
      </c>
      <c r="G36" s="149"/>
      <c r="H36" s="153"/>
      <c r="I36" s="139"/>
      <c r="J36" s="154"/>
      <c r="K36" s="155" t="str">
        <f>if(isblank($H36), "", sumif(Transactions!$K:$K,$H36,Transactions!$I:$I))</f>
        <v/>
      </c>
      <c r="L36" s="156" t="str">
        <f t="shared" si="4"/>
        <v/>
      </c>
      <c r="M36" s="16"/>
    </row>
    <row r="37" ht="18.0" customHeight="1">
      <c r="A37" s="16"/>
      <c r="B37" s="147" t="s">
        <v>49</v>
      </c>
      <c r="C37" s="151"/>
      <c r="D37" s="140">
        <v>2000.0</v>
      </c>
      <c r="E37" s="133">
        <f>if(isblank($B37), "", sumif(Transactions!$F:$F,$B37,Transactions!$D:$D))</f>
        <v>1449</v>
      </c>
      <c r="F37" s="146">
        <f t="shared" si="3"/>
        <v>551</v>
      </c>
      <c r="G37" s="149"/>
      <c r="H37" s="153"/>
      <c r="I37" s="139"/>
      <c r="J37" s="154"/>
      <c r="K37" s="155" t="str">
        <f>if(isblank($H37), "", sumif(Transactions!$K:$K,$H37,Transactions!$I:$I))</f>
        <v/>
      </c>
      <c r="L37" s="156" t="str">
        <f t="shared" si="4"/>
        <v/>
      </c>
      <c r="M37" s="16"/>
    </row>
    <row r="38" ht="18.0" customHeight="1">
      <c r="A38" s="16"/>
      <c r="B38" s="138" t="s">
        <v>62</v>
      </c>
      <c r="C38" s="151"/>
      <c r="D38" s="157">
        <v>5000.0</v>
      </c>
      <c r="E38" s="133">
        <f>if(isblank($B38), "", sumif(Transactions!$F:$F,$B38,Transactions!$D:$D))</f>
        <v>1402</v>
      </c>
      <c r="F38" s="146">
        <f t="shared" si="3"/>
        <v>3598</v>
      </c>
      <c r="G38" s="149"/>
      <c r="H38" s="153"/>
      <c r="I38" s="139"/>
      <c r="J38" s="154"/>
      <c r="K38" s="155" t="str">
        <f>if(isblank($H38), "", sumif(Transactions!$K:$K,$H38,Transactions!$I:$I))</f>
        <v/>
      </c>
      <c r="L38" s="156" t="str">
        <f t="shared" si="4"/>
        <v/>
      </c>
      <c r="M38" s="16"/>
    </row>
    <row r="39" ht="18.0" customHeight="1">
      <c r="A39" s="16"/>
      <c r="B39" s="138" t="s">
        <v>111</v>
      </c>
      <c r="C39" s="151"/>
      <c r="D39" s="157">
        <v>0.0</v>
      </c>
      <c r="E39" s="133">
        <f>if(isblank($B39), "", sumif(Transactions!$F:$F,$B39,Transactions!$D:$D))</f>
        <v>0</v>
      </c>
      <c r="F39" s="146">
        <f t="shared" si="3"/>
        <v>0</v>
      </c>
      <c r="G39" s="149"/>
      <c r="H39" s="153"/>
      <c r="I39" s="139"/>
      <c r="J39" s="154"/>
      <c r="K39" s="155" t="str">
        <f>if(isblank($H39), "", sumif(Transactions!$K:$K,$H39,Transactions!$I:$I))</f>
        <v/>
      </c>
      <c r="L39" s="156" t="str">
        <f t="shared" si="4"/>
        <v/>
      </c>
      <c r="M39" s="16"/>
    </row>
    <row r="40" ht="18.0" customHeight="1">
      <c r="A40" s="16"/>
      <c r="B40" s="147" t="s">
        <v>21</v>
      </c>
      <c r="C40" s="151"/>
      <c r="D40" s="157">
        <v>1000.0</v>
      </c>
      <c r="E40" s="158">
        <f>if(isblank($B40), "", sumif(Transactions!$F:$F,$B40,Transactions!$D:$D))</f>
        <v>1090</v>
      </c>
      <c r="F40" s="146">
        <f t="shared" si="3"/>
        <v>-90</v>
      </c>
      <c r="G40" s="149"/>
      <c r="H40" s="153"/>
      <c r="I40" s="139"/>
      <c r="J40" s="154"/>
      <c r="K40" s="155" t="str">
        <f>if(isblank($H40), "", sumif(Transactions!$K:$K,$H40,Transactions!$I:$I))</f>
        <v/>
      </c>
      <c r="L40" s="156" t="str">
        <f t="shared" si="4"/>
        <v/>
      </c>
      <c r="M40" s="16"/>
    </row>
    <row r="41" ht="18.0" customHeight="1">
      <c r="A41" s="16"/>
      <c r="B41" s="138" t="s">
        <v>116</v>
      </c>
      <c r="C41" s="139"/>
      <c r="D41" s="157">
        <v>0.0</v>
      </c>
      <c r="E41" s="158">
        <f>if(isblank($B41), "", sumif(Transactions!$F:$F,$B41,Transactions!$D:$D))</f>
        <v>0</v>
      </c>
      <c r="F41" s="146">
        <f t="shared" si="3"/>
        <v>0</v>
      </c>
      <c r="G41" s="149"/>
      <c r="H41" s="159"/>
      <c r="I41" s="159"/>
      <c r="J41" s="154"/>
      <c r="K41" s="155"/>
      <c r="L41" s="156"/>
      <c r="M41" s="16"/>
    </row>
    <row r="42" ht="18.0" customHeight="1">
      <c r="A42" s="16"/>
      <c r="G42" s="149"/>
      <c r="H42" s="153"/>
      <c r="I42" s="139"/>
      <c r="J42" s="154"/>
      <c r="K42" s="155" t="str">
        <f>if(isblank($H42), "", sumif(Transactions!$K:$K,$H42,Transactions!$I:$I))</f>
        <v/>
      </c>
      <c r="L42" s="156" t="str">
        <f>if(isblank($H42), "", K42-J42)</f>
        <v/>
      </c>
      <c r="M42" s="16"/>
    </row>
    <row r="43" ht="18.0" customHeight="1">
      <c r="A43" s="16"/>
      <c r="B43" s="160"/>
      <c r="C43" s="160"/>
      <c r="D43" s="161"/>
      <c r="E43" s="155"/>
      <c r="F43" s="156"/>
      <c r="G43" s="149"/>
      <c r="H43" s="162"/>
      <c r="I43" s="162"/>
      <c r="J43" s="163"/>
      <c r="K43" s="155"/>
      <c r="L43" s="156"/>
      <c r="M43" s="16"/>
    </row>
    <row r="44" ht="18.0" customHeight="1">
      <c r="A44" s="16"/>
      <c r="B44" s="160"/>
      <c r="C44" s="160"/>
      <c r="D44" s="161"/>
      <c r="E44" s="155"/>
      <c r="F44" s="156"/>
      <c r="G44" s="149"/>
      <c r="H44" s="162"/>
      <c r="I44" s="162"/>
      <c r="J44" s="163"/>
      <c r="K44" s="155"/>
      <c r="L44" s="156"/>
      <c r="M44" s="16"/>
    </row>
  </sheetData>
  <mergeCells count="53">
    <mergeCell ref="B2:H2"/>
    <mergeCell ref="I2:L2"/>
    <mergeCell ref="B3:G4"/>
    <mergeCell ref="I3:L3"/>
    <mergeCell ref="I4:M5"/>
    <mergeCell ref="B5:G6"/>
    <mergeCell ref="J8:K8"/>
    <mergeCell ref="B8:E9"/>
    <mergeCell ref="D12:D15"/>
    <mergeCell ref="E12:E15"/>
    <mergeCell ref="I13:K13"/>
    <mergeCell ref="I14:K14"/>
    <mergeCell ref="I15:K15"/>
    <mergeCell ref="I16:K16"/>
    <mergeCell ref="I17:K17"/>
    <mergeCell ref="B20:F20"/>
    <mergeCell ref="D21:F21"/>
    <mergeCell ref="J21:L21"/>
    <mergeCell ref="D22:F22"/>
    <mergeCell ref="J22:L22"/>
    <mergeCell ref="J23:L23"/>
    <mergeCell ref="D23:F23"/>
    <mergeCell ref="B24:C24"/>
    <mergeCell ref="B27:C27"/>
    <mergeCell ref="H27:I27"/>
    <mergeCell ref="B28:C28"/>
    <mergeCell ref="H28:I28"/>
    <mergeCell ref="H29:I29"/>
    <mergeCell ref="B36:C36"/>
    <mergeCell ref="B37:C37"/>
    <mergeCell ref="B38:C38"/>
    <mergeCell ref="B39:C39"/>
    <mergeCell ref="B40:C40"/>
    <mergeCell ref="B41:C41"/>
    <mergeCell ref="B29:C29"/>
    <mergeCell ref="B30:C30"/>
    <mergeCell ref="B31:C31"/>
    <mergeCell ref="B32:C32"/>
    <mergeCell ref="B33:C33"/>
    <mergeCell ref="B34:C34"/>
    <mergeCell ref="B35:C35"/>
    <mergeCell ref="H37:I37"/>
    <mergeCell ref="H38:I38"/>
    <mergeCell ref="H39:I39"/>
    <mergeCell ref="H40:I40"/>
    <mergeCell ref="H42:I42"/>
    <mergeCell ref="H30:I30"/>
    <mergeCell ref="H31:I31"/>
    <mergeCell ref="H32:I32"/>
    <mergeCell ref="H33:I33"/>
    <mergeCell ref="H34:I34"/>
    <mergeCell ref="H35:I35"/>
    <mergeCell ref="H36:I36"/>
  </mergeCells>
  <conditionalFormatting sqref="B27:C41 H27:H44 B43:C44">
    <cfRule type="notContainsBlanks" dxfId="0" priority="1">
      <formula>LEN(TRIM(B27))&gt;0</formula>
    </cfRule>
  </conditionalFormatting>
  <conditionalFormatting sqref="D27:D41 D43:D44">
    <cfRule type="expression" dxfId="0" priority="2">
      <formula>not(isblank(B27))</formula>
    </cfRule>
  </conditionalFormatting>
  <conditionalFormatting sqref="J27:J44">
    <cfRule type="expression" dxfId="0" priority="3">
      <formula>not(isblank(H27))</formula>
    </cfRule>
  </conditionalFormatting>
  <conditionalFormatting sqref="F26:F41 L26:L44 F43:F44">
    <cfRule type="cellIs" dxfId="1" priority="4" operator="lessThan">
      <formula>0</formula>
    </cfRule>
  </conditionalFormatting>
  <conditionalFormatting sqref="F27:F41 L27:L44 F43:F44">
    <cfRule type="cellIs" dxfId="2" priority="5" operator="equal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3" width="12.38"/>
    <col customWidth="1" min="4" max="4" width="10.0"/>
    <col customWidth="1" min="5" max="5" width="31.5"/>
    <col customWidth="1" min="6" max="6" width="17.88"/>
    <col customWidth="1" min="7" max="7" width="5.13"/>
    <col customWidth="1" min="10" max="10" width="18.63"/>
    <col customWidth="1" min="12" max="12" width="5.13"/>
  </cols>
  <sheetData>
    <row r="1" ht="33.0" customHeight="1">
      <c r="A1" s="2"/>
      <c r="B1" s="4" t="s">
        <v>0</v>
      </c>
      <c r="L1" s="2"/>
    </row>
    <row r="2" ht="48.0" customHeight="1">
      <c r="A2" s="6"/>
      <c r="B2" s="7" t="s">
        <v>1</v>
      </c>
      <c r="C2" s="7"/>
      <c r="D2" s="6"/>
      <c r="E2" s="6"/>
      <c r="F2" s="6"/>
      <c r="G2" s="6"/>
      <c r="H2" s="7" t="s">
        <v>4</v>
      </c>
      <c r="I2" s="6"/>
      <c r="J2" s="6"/>
      <c r="K2" s="6"/>
      <c r="L2" s="6"/>
    </row>
    <row r="3" ht="12.0" customHeight="1">
      <c r="A3" s="11"/>
      <c r="B3" s="13"/>
      <c r="C3" s="13"/>
      <c r="D3" s="13"/>
      <c r="E3" s="13"/>
      <c r="F3" s="13"/>
      <c r="G3" s="11"/>
      <c r="H3" s="13"/>
      <c r="I3" s="13"/>
      <c r="J3" s="13"/>
      <c r="K3" s="13"/>
      <c r="L3" s="11"/>
    </row>
    <row r="4" ht="24.0" customHeight="1">
      <c r="A4" s="16"/>
      <c r="B4" s="18" t="s">
        <v>7</v>
      </c>
      <c r="C4" s="18"/>
      <c r="D4" s="18" t="s">
        <v>9</v>
      </c>
      <c r="E4" s="18" t="s">
        <v>10</v>
      </c>
      <c r="F4" s="18" t="s">
        <v>11</v>
      </c>
      <c r="G4" s="16"/>
      <c r="H4" s="18" t="s">
        <v>7</v>
      </c>
      <c r="I4" s="18" t="s">
        <v>9</v>
      </c>
      <c r="J4" s="18" t="s">
        <v>10</v>
      </c>
      <c r="K4" s="18" t="s">
        <v>11</v>
      </c>
      <c r="L4" s="16"/>
    </row>
    <row r="5" ht="19.5" customHeight="1">
      <c r="A5" s="16"/>
      <c r="B5" s="22"/>
      <c r="C5" s="23"/>
      <c r="E5" s="25"/>
      <c r="F5" s="33"/>
      <c r="G5" s="16"/>
      <c r="H5" s="35"/>
      <c r="I5" s="37"/>
      <c r="J5" s="38"/>
      <c r="K5" s="40"/>
      <c r="L5" s="16"/>
    </row>
    <row r="6" ht="17.25" customHeight="1">
      <c r="A6" s="16"/>
      <c r="B6" s="42">
        <v>46266.0</v>
      </c>
      <c r="C6" s="42"/>
      <c r="D6" s="45">
        <v>200.0</v>
      </c>
      <c r="E6" s="46" t="s">
        <v>15</v>
      </c>
      <c r="F6" s="49" t="s">
        <v>16</v>
      </c>
      <c r="G6" s="16"/>
      <c r="H6" s="51">
        <v>46265.0</v>
      </c>
      <c r="I6" s="52">
        <v>182000.0</v>
      </c>
      <c r="J6" s="53" t="s">
        <v>17</v>
      </c>
      <c r="K6" s="54" t="s">
        <v>18</v>
      </c>
      <c r="L6" s="16"/>
    </row>
    <row r="7" ht="19.5" customHeight="1">
      <c r="A7" s="16"/>
      <c r="B7" s="42">
        <v>46266.0</v>
      </c>
      <c r="C7" s="42"/>
      <c r="D7" s="45">
        <v>145.0</v>
      </c>
      <c r="E7" s="46" t="s">
        <v>19</v>
      </c>
      <c r="F7" s="49" t="s">
        <v>16</v>
      </c>
      <c r="G7" s="16"/>
      <c r="H7" s="51">
        <v>46263.0</v>
      </c>
      <c r="I7" s="52">
        <v>268.0</v>
      </c>
      <c r="J7" s="53" t="s">
        <v>20</v>
      </c>
      <c r="K7" s="54" t="s">
        <v>21</v>
      </c>
      <c r="L7" s="16"/>
    </row>
    <row r="8" ht="19.5" customHeight="1">
      <c r="A8" s="16"/>
      <c r="B8" s="42">
        <v>46266.0</v>
      </c>
      <c r="C8" s="42"/>
      <c r="D8" s="45">
        <v>681.0</v>
      </c>
      <c r="E8" s="46" t="s">
        <v>22</v>
      </c>
      <c r="F8" s="55" t="s">
        <v>23</v>
      </c>
      <c r="G8" s="16"/>
      <c r="H8" s="51">
        <v>46245.0</v>
      </c>
      <c r="I8" s="52">
        <v>0.0</v>
      </c>
      <c r="J8" s="53" t="s">
        <v>24</v>
      </c>
      <c r="K8" s="54" t="s">
        <v>21</v>
      </c>
      <c r="L8" s="16"/>
    </row>
    <row r="9" ht="19.5" customHeight="1">
      <c r="A9" s="16"/>
      <c r="B9" s="42">
        <v>46266.0</v>
      </c>
      <c r="C9" s="42"/>
      <c r="D9" s="45">
        <v>789.0</v>
      </c>
      <c r="E9" s="46" t="s">
        <v>22</v>
      </c>
      <c r="F9" s="55" t="s">
        <v>23</v>
      </c>
      <c r="G9" s="16"/>
      <c r="H9" s="51"/>
      <c r="I9" s="52"/>
      <c r="J9" s="53"/>
      <c r="K9" s="54"/>
      <c r="L9" s="16"/>
    </row>
    <row r="10" ht="19.5" customHeight="1">
      <c r="A10" s="16"/>
      <c r="B10" s="42">
        <v>46266.0</v>
      </c>
      <c r="C10" s="42"/>
      <c r="D10" s="45">
        <v>90.0</v>
      </c>
      <c r="E10" s="46" t="s">
        <v>25</v>
      </c>
      <c r="F10" s="55" t="s">
        <v>16</v>
      </c>
      <c r="G10" s="16"/>
      <c r="L10" s="16"/>
    </row>
    <row r="11" ht="19.5" customHeight="1">
      <c r="A11" s="16"/>
      <c r="B11" s="42">
        <v>46267.0</v>
      </c>
      <c r="C11" s="42"/>
      <c r="D11" s="45">
        <v>357.0</v>
      </c>
      <c r="E11" s="46" t="s">
        <v>26</v>
      </c>
      <c r="F11" s="55" t="s">
        <v>27</v>
      </c>
      <c r="G11" s="16"/>
      <c r="H11" s="56"/>
      <c r="I11" s="52"/>
      <c r="J11" s="58"/>
      <c r="K11" s="59"/>
      <c r="L11" s="16"/>
    </row>
    <row r="12" ht="19.5" customHeight="1">
      <c r="A12" s="16"/>
      <c r="B12" s="42">
        <v>46267.0</v>
      </c>
      <c r="C12" s="42"/>
      <c r="D12" s="45">
        <v>22000.0</v>
      </c>
      <c r="E12" s="46" t="s">
        <v>28</v>
      </c>
      <c r="F12" s="55" t="s">
        <v>29</v>
      </c>
      <c r="G12" s="16"/>
      <c r="H12" s="56"/>
      <c r="I12" s="52"/>
      <c r="J12" s="58"/>
      <c r="K12" s="59"/>
      <c r="L12" s="16"/>
    </row>
    <row r="13" ht="19.5" customHeight="1">
      <c r="A13" s="16"/>
      <c r="B13" s="42">
        <v>46267.0</v>
      </c>
      <c r="C13" s="42"/>
      <c r="D13" s="45">
        <v>483.0</v>
      </c>
      <c r="E13" s="46" t="s">
        <v>30</v>
      </c>
      <c r="F13" s="55" t="s">
        <v>27</v>
      </c>
      <c r="G13" s="16"/>
      <c r="H13" s="56"/>
      <c r="I13" s="52"/>
      <c r="J13" s="58"/>
      <c r="K13" s="59"/>
      <c r="L13" s="16"/>
    </row>
    <row r="14" ht="19.5" customHeight="1">
      <c r="A14" s="16"/>
      <c r="B14" s="42">
        <v>46267.0</v>
      </c>
      <c r="C14" s="42"/>
      <c r="D14" s="45">
        <v>160.0</v>
      </c>
      <c r="E14" s="46" t="s">
        <v>31</v>
      </c>
      <c r="F14" s="55" t="s">
        <v>27</v>
      </c>
      <c r="G14" s="16"/>
      <c r="H14" s="56"/>
      <c r="I14" s="52"/>
      <c r="J14" s="58"/>
      <c r="K14" s="59"/>
      <c r="L14" s="16"/>
    </row>
    <row r="15" ht="19.5" customHeight="1">
      <c r="A15" s="16"/>
      <c r="B15" s="42">
        <v>46267.0</v>
      </c>
      <c r="C15" s="42"/>
      <c r="D15" s="45">
        <v>375.0</v>
      </c>
      <c r="E15" s="46" t="s">
        <v>32</v>
      </c>
      <c r="F15" s="55" t="s">
        <v>23</v>
      </c>
      <c r="G15" s="16"/>
      <c r="H15" s="56"/>
      <c r="I15" s="52"/>
      <c r="J15" s="58"/>
      <c r="K15" s="59"/>
      <c r="L15" s="16"/>
    </row>
    <row r="16" ht="19.5" customHeight="1">
      <c r="A16" s="16"/>
      <c r="B16" s="42">
        <v>46267.0</v>
      </c>
      <c r="C16" s="42"/>
      <c r="D16" s="45">
        <v>20.0</v>
      </c>
      <c r="E16" s="46" t="s">
        <v>33</v>
      </c>
      <c r="F16" s="55" t="s">
        <v>16</v>
      </c>
      <c r="G16" s="16"/>
      <c r="H16" s="56"/>
      <c r="I16" s="52"/>
      <c r="J16" s="53"/>
      <c r="K16" s="54"/>
      <c r="L16" s="16"/>
    </row>
    <row r="17" ht="19.5" customHeight="1">
      <c r="A17" s="16"/>
      <c r="B17" s="42">
        <v>46268.0</v>
      </c>
      <c r="C17" s="42"/>
      <c r="D17" s="45">
        <v>34.0</v>
      </c>
      <c r="E17" s="46" t="s">
        <v>34</v>
      </c>
      <c r="F17" s="55" t="s">
        <v>27</v>
      </c>
      <c r="G17" s="16"/>
      <c r="H17" s="66"/>
      <c r="I17" s="52"/>
      <c r="J17" s="58"/>
      <c r="K17" s="59"/>
      <c r="L17" s="16"/>
    </row>
    <row r="18" ht="19.5" customHeight="1">
      <c r="A18" s="16"/>
      <c r="B18" s="42">
        <v>46267.0</v>
      </c>
      <c r="C18" s="42"/>
      <c r="D18" s="45">
        <v>4500.0</v>
      </c>
      <c r="E18" s="46" t="s">
        <v>35</v>
      </c>
      <c r="F18" s="55" t="s">
        <v>36</v>
      </c>
      <c r="G18" s="16"/>
      <c r="H18" s="66"/>
      <c r="I18" s="52"/>
      <c r="J18" s="58"/>
      <c r="K18" s="59"/>
      <c r="L18" s="16"/>
    </row>
    <row r="19" ht="19.5" customHeight="1">
      <c r="A19" s="16"/>
      <c r="B19" s="42">
        <v>46269.0</v>
      </c>
      <c r="C19" s="42"/>
      <c r="D19" s="45">
        <v>800.0</v>
      </c>
      <c r="E19" s="68" t="s">
        <v>37</v>
      </c>
      <c r="F19" s="55" t="s">
        <v>23</v>
      </c>
      <c r="G19" s="16"/>
      <c r="H19" s="66"/>
      <c r="I19" s="52"/>
      <c r="J19" s="58"/>
      <c r="K19" s="59"/>
      <c r="L19" s="16"/>
    </row>
    <row r="20" ht="19.5" customHeight="1">
      <c r="A20" s="16"/>
      <c r="B20" s="42">
        <v>46269.0</v>
      </c>
      <c r="C20" s="42"/>
      <c r="D20" s="45">
        <v>1002.0</v>
      </c>
      <c r="E20" s="46" t="s">
        <v>38</v>
      </c>
      <c r="F20" s="55" t="s">
        <v>23</v>
      </c>
      <c r="G20" s="16"/>
      <c r="H20" s="66"/>
      <c r="I20" s="52"/>
      <c r="J20" s="58"/>
      <c r="K20" s="59"/>
      <c r="L20" s="16"/>
    </row>
    <row r="21" ht="19.5" customHeight="1">
      <c r="A21" s="16"/>
      <c r="B21" s="42">
        <v>46269.0</v>
      </c>
      <c r="C21" s="42"/>
      <c r="D21" s="45">
        <v>330.0</v>
      </c>
      <c r="E21" s="46" t="s">
        <v>39</v>
      </c>
      <c r="F21" s="55" t="s">
        <v>40</v>
      </c>
      <c r="G21" s="16"/>
      <c r="H21" s="66"/>
      <c r="I21" s="52"/>
      <c r="J21" s="58"/>
      <c r="K21" s="59"/>
      <c r="L21" s="16"/>
    </row>
    <row r="22" ht="19.5" customHeight="1">
      <c r="A22" s="16"/>
      <c r="B22" s="42">
        <v>46269.0</v>
      </c>
      <c r="C22" s="42"/>
      <c r="D22" s="45">
        <v>692.0</v>
      </c>
      <c r="E22" s="46" t="s">
        <v>41</v>
      </c>
      <c r="F22" s="55" t="s">
        <v>23</v>
      </c>
      <c r="G22" s="16"/>
      <c r="H22" s="66"/>
      <c r="I22" s="52"/>
      <c r="J22" s="58"/>
      <c r="K22" s="59"/>
      <c r="L22" s="16"/>
    </row>
    <row r="23" ht="19.5" customHeight="1">
      <c r="A23" s="16"/>
      <c r="B23" s="42">
        <v>46269.0</v>
      </c>
      <c r="C23" s="42"/>
      <c r="D23" s="45">
        <f>20+20</f>
        <v>40</v>
      </c>
      <c r="E23" s="46" t="s">
        <v>33</v>
      </c>
      <c r="F23" s="55" t="s">
        <v>16</v>
      </c>
      <c r="G23" s="16"/>
      <c r="H23" s="66"/>
      <c r="I23" s="52"/>
      <c r="J23" s="58"/>
      <c r="K23" s="59"/>
      <c r="L23" s="16"/>
    </row>
    <row r="24" ht="19.5" customHeight="1">
      <c r="A24" s="16"/>
      <c r="B24" s="42">
        <v>46269.0</v>
      </c>
      <c r="C24" s="42"/>
      <c r="D24" s="45">
        <v>40.0</v>
      </c>
      <c r="E24" s="46" t="s">
        <v>44</v>
      </c>
      <c r="F24" s="55" t="s">
        <v>16</v>
      </c>
      <c r="G24" s="16"/>
      <c r="H24" s="66"/>
      <c r="I24" s="52"/>
      <c r="J24" s="58"/>
      <c r="K24" s="59"/>
      <c r="L24" s="16"/>
    </row>
    <row r="25" ht="19.5" customHeight="1">
      <c r="A25" s="16"/>
      <c r="B25" s="42">
        <v>46270.0</v>
      </c>
      <c r="C25" s="42"/>
      <c r="D25" s="45">
        <v>138.0</v>
      </c>
      <c r="E25" s="46" t="s">
        <v>45</v>
      </c>
      <c r="F25" s="55" t="s">
        <v>27</v>
      </c>
      <c r="G25" s="16"/>
      <c r="H25" s="66"/>
      <c r="I25" s="52"/>
      <c r="J25" s="58"/>
      <c r="K25" s="59"/>
      <c r="L25" s="16"/>
    </row>
    <row r="26" ht="19.5" customHeight="1">
      <c r="A26" s="16"/>
      <c r="B26" s="42">
        <v>46270.0</v>
      </c>
      <c r="C26" s="42"/>
      <c r="D26" s="45">
        <v>260.0</v>
      </c>
      <c r="E26" s="46" t="s">
        <v>46</v>
      </c>
      <c r="F26" s="55" t="s">
        <v>16</v>
      </c>
      <c r="G26" s="16"/>
      <c r="H26" s="66"/>
      <c r="I26" s="52"/>
      <c r="J26" s="58"/>
      <c r="K26" s="59"/>
      <c r="L26" s="16"/>
    </row>
    <row r="27" ht="19.5" customHeight="1">
      <c r="A27" s="16"/>
      <c r="B27" s="42">
        <v>46270.0</v>
      </c>
      <c r="C27" s="42"/>
      <c r="D27" s="45">
        <v>27.0</v>
      </c>
      <c r="E27" s="46" t="s">
        <v>47</v>
      </c>
      <c r="F27" s="55" t="s">
        <v>27</v>
      </c>
      <c r="G27" s="16"/>
      <c r="H27" s="66"/>
      <c r="I27" s="52"/>
      <c r="J27" s="58"/>
      <c r="K27" s="59"/>
      <c r="L27" s="16"/>
    </row>
    <row r="28" ht="19.5" customHeight="1">
      <c r="A28" s="16"/>
      <c r="B28" s="42">
        <v>46270.0</v>
      </c>
      <c r="C28" s="42"/>
      <c r="D28" s="45">
        <v>1000.0</v>
      </c>
      <c r="E28" s="46" t="s">
        <v>48</v>
      </c>
      <c r="F28" s="55" t="s">
        <v>49</v>
      </c>
      <c r="G28" s="16"/>
      <c r="H28" s="66"/>
      <c r="I28" s="52"/>
      <c r="J28" s="58"/>
      <c r="K28" s="59"/>
      <c r="L28" s="16"/>
    </row>
    <row r="29" ht="19.5" customHeight="1">
      <c r="A29" s="16"/>
      <c r="B29" s="42">
        <v>46270.0</v>
      </c>
      <c r="C29" s="42"/>
      <c r="D29" s="45">
        <v>190.0</v>
      </c>
      <c r="E29" s="46" t="s">
        <v>50</v>
      </c>
      <c r="F29" s="55" t="s">
        <v>16</v>
      </c>
      <c r="G29" s="16"/>
      <c r="H29" s="66"/>
      <c r="I29" s="52"/>
      <c r="J29" s="58"/>
      <c r="K29" s="59"/>
      <c r="L29" s="16"/>
    </row>
    <row r="30" ht="19.5" customHeight="1">
      <c r="A30" s="16"/>
      <c r="B30" s="42">
        <v>46270.0</v>
      </c>
      <c r="C30" s="42"/>
      <c r="D30" s="45">
        <v>2262.0</v>
      </c>
      <c r="E30" s="46" t="s">
        <v>51</v>
      </c>
      <c r="F30" s="55" t="s">
        <v>27</v>
      </c>
      <c r="G30" s="16"/>
      <c r="H30" s="66"/>
      <c r="I30" s="52"/>
      <c r="J30" s="58"/>
      <c r="K30" s="59"/>
      <c r="L30" s="16"/>
    </row>
    <row r="31" ht="19.5" customHeight="1">
      <c r="A31" s="16"/>
      <c r="B31" s="42">
        <v>46271.0</v>
      </c>
      <c r="C31" s="42"/>
      <c r="D31" s="45">
        <f>20+20</f>
        <v>40</v>
      </c>
      <c r="E31" s="46" t="s">
        <v>52</v>
      </c>
      <c r="F31" s="55" t="s">
        <v>16</v>
      </c>
      <c r="G31" s="16"/>
      <c r="H31" s="66"/>
      <c r="I31" s="52"/>
      <c r="J31" s="58"/>
      <c r="K31" s="59"/>
      <c r="L31" s="16"/>
    </row>
    <row r="32" ht="19.5" customHeight="1">
      <c r="A32" s="16"/>
      <c r="B32" s="42">
        <v>46271.0</v>
      </c>
      <c r="C32" s="42"/>
      <c r="D32" s="45">
        <v>100.0</v>
      </c>
      <c r="E32" s="46" t="s">
        <v>53</v>
      </c>
      <c r="F32" s="55" t="s">
        <v>36</v>
      </c>
      <c r="G32" s="16"/>
      <c r="H32" s="66"/>
      <c r="I32" s="52"/>
      <c r="J32" s="58"/>
      <c r="K32" s="59"/>
      <c r="L32" s="16"/>
    </row>
    <row r="33" ht="19.5" customHeight="1">
      <c r="A33" s="16"/>
      <c r="B33" s="42">
        <v>46271.0</v>
      </c>
      <c r="C33" s="42"/>
      <c r="D33" s="45">
        <v>350.0</v>
      </c>
      <c r="E33" s="46" t="s">
        <v>55</v>
      </c>
      <c r="F33" s="55" t="s">
        <v>36</v>
      </c>
      <c r="G33" s="16"/>
      <c r="H33" s="66"/>
      <c r="I33" s="52"/>
      <c r="J33" s="58"/>
      <c r="K33" s="59"/>
      <c r="L33" s="16"/>
    </row>
    <row r="34" ht="19.5" customHeight="1">
      <c r="A34" s="16"/>
      <c r="B34" s="42">
        <v>46271.0</v>
      </c>
      <c r="C34" s="42"/>
      <c r="D34" s="45">
        <v>120.0</v>
      </c>
      <c r="E34" s="46" t="s">
        <v>56</v>
      </c>
      <c r="F34" s="55" t="s">
        <v>16</v>
      </c>
      <c r="G34" s="16"/>
      <c r="H34" s="66"/>
      <c r="I34" s="52"/>
      <c r="J34" s="58"/>
      <c r="K34" s="59"/>
      <c r="L34" s="16"/>
    </row>
    <row r="35" ht="19.5" customHeight="1">
      <c r="A35" s="16"/>
      <c r="B35" s="42">
        <v>46272.0</v>
      </c>
      <c r="C35" s="42"/>
      <c r="D35" s="45">
        <v>304.0</v>
      </c>
      <c r="E35" s="46" t="s">
        <v>57</v>
      </c>
      <c r="F35" s="55" t="s">
        <v>27</v>
      </c>
      <c r="G35" s="16"/>
      <c r="H35" s="66"/>
      <c r="I35" s="52"/>
      <c r="J35" s="58"/>
      <c r="K35" s="59"/>
      <c r="L35" s="16"/>
    </row>
    <row r="36" ht="19.5" customHeight="1">
      <c r="A36" s="16"/>
      <c r="B36" s="42">
        <v>46272.0</v>
      </c>
      <c r="C36" s="42"/>
      <c r="D36" s="45">
        <v>20.0</v>
      </c>
      <c r="E36" s="46" t="s">
        <v>52</v>
      </c>
      <c r="F36" s="55" t="s">
        <v>16</v>
      </c>
      <c r="G36" s="16"/>
      <c r="H36" s="66"/>
      <c r="I36" s="52"/>
      <c r="J36" s="58"/>
      <c r="K36" s="59"/>
      <c r="L36" s="16"/>
    </row>
    <row r="37" ht="19.5" customHeight="1">
      <c r="A37" s="16"/>
      <c r="B37" s="42">
        <v>46273.0</v>
      </c>
      <c r="C37" s="42"/>
      <c r="D37" s="45">
        <v>20.0</v>
      </c>
      <c r="E37" s="46" t="s">
        <v>58</v>
      </c>
      <c r="F37" s="55" t="s">
        <v>16</v>
      </c>
      <c r="G37" s="16"/>
      <c r="H37" s="66"/>
      <c r="I37" s="52"/>
      <c r="J37" s="58"/>
      <c r="K37" s="59"/>
      <c r="L37" s="16"/>
    </row>
    <row r="38" ht="19.5" customHeight="1">
      <c r="A38" s="16"/>
      <c r="B38" s="42">
        <v>46273.0</v>
      </c>
      <c r="C38" s="42"/>
      <c r="D38" s="45">
        <v>20.0</v>
      </c>
      <c r="E38" s="46" t="s">
        <v>52</v>
      </c>
      <c r="F38" s="55" t="s">
        <v>16</v>
      </c>
      <c r="G38" s="16"/>
      <c r="H38" s="95"/>
      <c r="I38" s="96"/>
      <c r="J38" s="98"/>
      <c r="K38" s="99"/>
      <c r="L38" s="16"/>
    </row>
    <row r="39" ht="19.5" customHeight="1">
      <c r="A39" s="16"/>
      <c r="B39" s="42">
        <v>46274.0</v>
      </c>
      <c r="C39" s="42"/>
      <c r="D39" s="45">
        <v>140.0</v>
      </c>
      <c r="E39" s="46" t="s">
        <v>60</v>
      </c>
      <c r="F39" s="55" t="s">
        <v>16</v>
      </c>
      <c r="G39" s="16"/>
      <c r="H39" s="101"/>
      <c r="I39" s="102"/>
      <c r="J39" s="103"/>
      <c r="K39" s="105"/>
      <c r="L39" s="16"/>
    </row>
    <row r="40" ht="19.5" customHeight="1">
      <c r="A40" s="16"/>
      <c r="B40" s="42">
        <v>46274.0</v>
      </c>
      <c r="C40" s="42"/>
      <c r="D40" s="45">
        <v>704.0</v>
      </c>
      <c r="E40" s="46" t="s">
        <v>61</v>
      </c>
      <c r="F40" s="55" t="s">
        <v>62</v>
      </c>
      <c r="G40" s="16"/>
      <c r="H40" s="101"/>
      <c r="I40" s="102"/>
      <c r="J40" s="103"/>
      <c r="K40" s="105"/>
      <c r="L40" s="16"/>
    </row>
    <row r="41" ht="19.5" customHeight="1">
      <c r="A41" s="16"/>
      <c r="B41" s="42">
        <v>46274.0</v>
      </c>
      <c r="C41" s="42"/>
      <c r="D41" s="45">
        <v>2480.0</v>
      </c>
      <c r="E41" s="46" t="s">
        <v>63</v>
      </c>
      <c r="F41" s="55" t="s">
        <v>23</v>
      </c>
      <c r="G41" s="16"/>
      <c r="H41" s="101"/>
      <c r="I41" s="102"/>
      <c r="J41" s="103"/>
      <c r="K41" s="105"/>
      <c r="L41" s="16"/>
    </row>
    <row r="42" ht="19.5" customHeight="1">
      <c r="A42" s="16"/>
      <c r="B42" s="42">
        <v>46274.0</v>
      </c>
      <c r="C42" s="42"/>
      <c r="D42" s="45">
        <v>164.0</v>
      </c>
      <c r="E42" s="46" t="s">
        <v>30</v>
      </c>
      <c r="F42" s="55" t="s">
        <v>27</v>
      </c>
      <c r="G42" s="16"/>
      <c r="H42" s="101"/>
      <c r="I42" s="102"/>
      <c r="J42" s="103"/>
      <c r="K42" s="105"/>
      <c r="L42" s="16"/>
    </row>
    <row r="43" ht="19.5" customHeight="1">
      <c r="A43" s="16"/>
      <c r="B43" s="42">
        <v>46274.0</v>
      </c>
      <c r="C43" s="42"/>
      <c r="D43" s="45">
        <v>70.0</v>
      </c>
      <c r="E43" s="46" t="s">
        <v>50</v>
      </c>
      <c r="F43" s="55" t="s">
        <v>16</v>
      </c>
      <c r="G43" s="16"/>
      <c r="H43" s="101"/>
      <c r="I43" s="102"/>
      <c r="J43" s="103"/>
      <c r="K43" s="105"/>
      <c r="L43" s="16"/>
    </row>
    <row r="44" ht="19.5" customHeight="1">
      <c r="A44" s="16"/>
      <c r="B44" s="42">
        <v>46274.0</v>
      </c>
      <c r="C44" s="42"/>
      <c r="D44" s="45">
        <v>20.0</v>
      </c>
      <c r="E44" s="46" t="s">
        <v>52</v>
      </c>
      <c r="F44" s="55" t="s">
        <v>16</v>
      </c>
      <c r="G44" s="16"/>
      <c r="H44" s="101"/>
      <c r="I44" s="102"/>
      <c r="J44" s="103"/>
      <c r="K44" s="105"/>
      <c r="L44" s="16"/>
    </row>
    <row r="45" ht="19.5" customHeight="1">
      <c r="A45" s="16"/>
      <c r="B45" s="42">
        <v>46274.0</v>
      </c>
      <c r="C45" s="42"/>
      <c r="D45" s="45">
        <v>155.0</v>
      </c>
      <c r="E45" s="46" t="s">
        <v>30</v>
      </c>
      <c r="F45" s="55" t="s">
        <v>27</v>
      </c>
      <c r="G45" s="16"/>
      <c r="H45" s="101"/>
      <c r="I45" s="102"/>
      <c r="J45" s="103"/>
      <c r="K45" s="105"/>
      <c r="L45" s="16"/>
    </row>
    <row r="46" ht="19.5" customHeight="1">
      <c r="A46" s="16"/>
      <c r="B46" s="42">
        <v>46275.0</v>
      </c>
      <c r="C46" s="42"/>
      <c r="D46" s="45">
        <v>50.0</v>
      </c>
      <c r="E46" s="46" t="s">
        <v>64</v>
      </c>
      <c r="F46" s="55" t="s">
        <v>36</v>
      </c>
      <c r="G46" s="16"/>
      <c r="H46" s="101"/>
      <c r="I46" s="102"/>
      <c r="J46" s="103"/>
      <c r="K46" s="105"/>
      <c r="L46" s="16"/>
    </row>
    <row r="47" ht="19.5" customHeight="1">
      <c r="A47" s="16"/>
      <c r="B47" s="42">
        <v>46275.0</v>
      </c>
      <c r="C47" s="42"/>
      <c r="D47" s="45">
        <v>80.0</v>
      </c>
      <c r="E47" s="46" t="s">
        <v>66</v>
      </c>
      <c r="F47" s="55" t="s">
        <v>27</v>
      </c>
      <c r="G47" s="16"/>
      <c r="H47" s="101"/>
      <c r="I47" s="102"/>
      <c r="J47" s="103"/>
      <c r="K47" s="105"/>
      <c r="L47" s="16"/>
    </row>
    <row r="48" ht="19.5" customHeight="1">
      <c r="A48" s="16"/>
      <c r="B48" s="42">
        <v>46275.0</v>
      </c>
      <c r="C48" s="42"/>
      <c r="D48" s="45">
        <v>20.0</v>
      </c>
      <c r="E48" s="46" t="s">
        <v>52</v>
      </c>
      <c r="F48" s="55" t="s">
        <v>16</v>
      </c>
      <c r="G48" s="16"/>
      <c r="H48" s="101"/>
      <c r="I48" s="102"/>
      <c r="J48" s="103"/>
      <c r="K48" s="105"/>
      <c r="L48" s="16"/>
    </row>
    <row r="49" ht="19.5" customHeight="1">
      <c r="A49" s="16"/>
      <c r="B49" s="42">
        <v>46275.0</v>
      </c>
      <c r="C49" s="42"/>
      <c r="D49" s="45">
        <v>565.0</v>
      </c>
      <c r="E49" s="46" t="s">
        <v>30</v>
      </c>
      <c r="F49" s="55" t="s">
        <v>27</v>
      </c>
      <c r="G49" s="16"/>
      <c r="H49" s="101"/>
      <c r="I49" s="102"/>
      <c r="J49" s="103"/>
      <c r="K49" s="105"/>
      <c r="L49" s="16"/>
    </row>
    <row r="50" ht="19.5" customHeight="1">
      <c r="A50" s="16"/>
      <c r="B50" s="42">
        <v>46275.0</v>
      </c>
      <c r="C50" s="42"/>
      <c r="D50" s="45">
        <v>199.0</v>
      </c>
      <c r="E50" s="46" t="s">
        <v>68</v>
      </c>
      <c r="F50" s="55" t="s">
        <v>69</v>
      </c>
      <c r="G50" s="16"/>
      <c r="H50" s="101"/>
      <c r="I50" s="102"/>
      <c r="J50" s="103"/>
      <c r="K50" s="105"/>
      <c r="L50" s="16"/>
    </row>
    <row r="51">
      <c r="B51" s="42">
        <v>46276.0</v>
      </c>
      <c r="C51" s="42"/>
      <c r="D51" s="45">
        <v>96.0</v>
      </c>
      <c r="E51" s="46" t="s">
        <v>70</v>
      </c>
      <c r="F51" s="55" t="s">
        <v>27</v>
      </c>
      <c r="I51" s="102"/>
    </row>
    <row r="52" ht="19.5" customHeight="1">
      <c r="A52" s="16"/>
      <c r="B52" s="42">
        <v>46276.0</v>
      </c>
      <c r="C52" s="42"/>
      <c r="D52" s="45">
        <v>20.0</v>
      </c>
      <c r="E52" s="46" t="s">
        <v>52</v>
      </c>
      <c r="F52" s="55" t="s">
        <v>16</v>
      </c>
      <c r="G52" s="16"/>
      <c r="H52" s="101"/>
      <c r="I52" s="102"/>
      <c r="J52" s="103"/>
      <c r="K52" s="105"/>
      <c r="L52" s="16"/>
    </row>
    <row r="53" ht="19.5" customHeight="1">
      <c r="A53" s="16"/>
      <c r="B53" s="42">
        <v>46277.0</v>
      </c>
      <c r="C53" s="42"/>
      <c r="D53" s="45">
        <v>20.0</v>
      </c>
      <c r="E53" s="46" t="s">
        <v>52</v>
      </c>
      <c r="F53" s="55" t="s">
        <v>16</v>
      </c>
      <c r="G53" s="16"/>
      <c r="H53" s="101"/>
      <c r="I53" s="102"/>
      <c r="J53" s="103"/>
      <c r="K53" s="105"/>
      <c r="L53" s="16"/>
    </row>
    <row r="54" ht="19.5" customHeight="1">
      <c r="A54" s="16"/>
      <c r="B54" s="42">
        <v>46277.0</v>
      </c>
      <c r="C54" s="42"/>
      <c r="D54" s="45">
        <v>145.0</v>
      </c>
      <c r="E54" s="46" t="s">
        <v>50</v>
      </c>
      <c r="F54" s="55" t="s">
        <v>16</v>
      </c>
      <c r="G54" s="16"/>
      <c r="H54" s="101"/>
      <c r="I54" s="102"/>
      <c r="J54" s="103"/>
      <c r="K54" s="105"/>
      <c r="L54" s="16"/>
    </row>
    <row r="55" ht="19.5" customHeight="1">
      <c r="A55" s="16"/>
      <c r="B55" s="42">
        <v>46277.0</v>
      </c>
      <c r="C55" s="42"/>
      <c r="D55" s="45">
        <v>1200.0</v>
      </c>
      <c r="E55" s="46" t="s">
        <v>71</v>
      </c>
      <c r="F55" s="55" t="s">
        <v>23</v>
      </c>
      <c r="G55" s="16"/>
      <c r="H55" s="101"/>
      <c r="I55" s="102"/>
      <c r="J55" s="103"/>
      <c r="K55" s="105"/>
      <c r="L55" s="16"/>
    </row>
    <row r="56" ht="19.5" customHeight="1">
      <c r="A56" s="16"/>
      <c r="B56" s="42">
        <v>46277.0</v>
      </c>
      <c r="C56" s="42"/>
      <c r="D56" s="45">
        <v>1204.0</v>
      </c>
      <c r="E56" s="46" t="s">
        <v>72</v>
      </c>
      <c r="F56" s="55" t="s">
        <v>23</v>
      </c>
      <c r="G56" s="16"/>
      <c r="H56" s="101"/>
      <c r="I56" s="102"/>
      <c r="J56" s="103"/>
      <c r="K56" s="105"/>
      <c r="L56" s="16"/>
    </row>
    <row r="57" ht="19.5" customHeight="1">
      <c r="A57" s="16"/>
      <c r="B57" s="42">
        <v>46277.0</v>
      </c>
      <c r="C57" s="42"/>
      <c r="D57" s="45">
        <v>20.0</v>
      </c>
      <c r="E57" s="46" t="s">
        <v>73</v>
      </c>
      <c r="F57" s="55" t="s">
        <v>27</v>
      </c>
      <c r="G57" s="16"/>
      <c r="H57" s="101"/>
      <c r="I57" s="102"/>
      <c r="J57" s="103"/>
      <c r="K57" s="105"/>
      <c r="L57" s="16"/>
    </row>
    <row r="58" ht="19.5" customHeight="1">
      <c r="A58" s="16"/>
      <c r="B58" s="42">
        <v>46278.0</v>
      </c>
      <c r="C58" s="42"/>
      <c r="D58" s="45">
        <v>260.0</v>
      </c>
      <c r="E58" s="46" t="s">
        <v>60</v>
      </c>
      <c r="F58" s="55" t="s">
        <v>16</v>
      </c>
      <c r="G58" s="16"/>
      <c r="H58" s="101"/>
      <c r="I58" s="102"/>
      <c r="J58" s="103"/>
      <c r="K58" s="105"/>
      <c r="L58" s="16"/>
    </row>
    <row r="59" ht="19.5" customHeight="1">
      <c r="A59" s="16"/>
      <c r="B59" s="42">
        <v>46278.0</v>
      </c>
      <c r="C59" s="42"/>
      <c r="D59" s="45">
        <v>54.0</v>
      </c>
      <c r="E59" s="46" t="s">
        <v>47</v>
      </c>
      <c r="F59" s="55" t="s">
        <v>27</v>
      </c>
      <c r="G59" s="16"/>
      <c r="H59" s="101"/>
      <c r="I59" s="102"/>
      <c r="J59" s="103"/>
      <c r="K59" s="105"/>
      <c r="L59" s="16"/>
    </row>
    <row r="60" ht="19.5" customHeight="1">
      <c r="A60" s="16"/>
      <c r="B60" s="42">
        <v>46278.0</v>
      </c>
      <c r="C60" s="42"/>
      <c r="D60" s="45">
        <v>20.0</v>
      </c>
      <c r="E60" s="46" t="s">
        <v>52</v>
      </c>
      <c r="F60" s="55" t="s">
        <v>16</v>
      </c>
      <c r="G60" s="16"/>
      <c r="H60" s="101"/>
      <c r="I60" s="102"/>
      <c r="J60" s="103"/>
      <c r="K60" s="105"/>
      <c r="L60" s="16"/>
    </row>
    <row r="61" ht="19.5" customHeight="1">
      <c r="A61" s="16"/>
      <c r="B61" s="42">
        <v>46278.0</v>
      </c>
      <c r="C61" s="42"/>
      <c r="D61" s="45">
        <v>910.0</v>
      </c>
      <c r="E61" s="46" t="s">
        <v>74</v>
      </c>
      <c r="F61" s="55" t="s">
        <v>23</v>
      </c>
      <c r="G61" s="16"/>
      <c r="H61" s="101"/>
      <c r="I61" s="102"/>
      <c r="J61" s="103"/>
      <c r="K61" s="105"/>
      <c r="L61" s="16"/>
    </row>
    <row r="62" ht="19.5" customHeight="1">
      <c r="A62" s="16"/>
      <c r="B62" s="42">
        <v>46278.0</v>
      </c>
      <c r="C62" s="42"/>
      <c r="D62" s="45">
        <v>187.0</v>
      </c>
      <c r="E62" s="46" t="s">
        <v>75</v>
      </c>
      <c r="F62" s="55" t="s">
        <v>27</v>
      </c>
      <c r="G62" s="142"/>
      <c r="H62" s="101"/>
      <c r="I62" s="102"/>
      <c r="J62" s="103"/>
      <c r="K62" s="105"/>
      <c r="L62" s="16"/>
    </row>
    <row r="63" ht="19.5" customHeight="1">
      <c r="A63" s="16"/>
      <c r="B63" s="42">
        <v>46278.0</v>
      </c>
      <c r="C63" s="42"/>
      <c r="D63" s="45">
        <v>450.0</v>
      </c>
      <c r="E63" s="46" t="s">
        <v>76</v>
      </c>
      <c r="F63" s="55" t="s">
        <v>62</v>
      </c>
      <c r="G63" s="16"/>
      <c r="H63" s="101"/>
      <c r="I63" s="102"/>
      <c r="J63" s="103"/>
      <c r="K63" s="105"/>
      <c r="L63" s="16"/>
    </row>
    <row r="64" ht="19.5" customHeight="1">
      <c r="A64" s="16"/>
      <c r="B64" s="42">
        <v>46278.0</v>
      </c>
      <c r="C64" s="42"/>
      <c r="D64" s="45">
        <v>400.0</v>
      </c>
      <c r="E64" s="46" t="s">
        <v>77</v>
      </c>
      <c r="F64" s="55" t="s">
        <v>16</v>
      </c>
      <c r="G64" s="16"/>
      <c r="H64" s="101"/>
      <c r="I64" s="102"/>
      <c r="J64" s="103"/>
      <c r="K64" s="105"/>
      <c r="L64" s="16"/>
    </row>
    <row r="65" ht="19.5" customHeight="1">
      <c r="A65" s="16"/>
      <c r="B65" s="42">
        <v>46278.0</v>
      </c>
      <c r="C65" s="42"/>
      <c r="D65" s="45">
        <v>248.0</v>
      </c>
      <c r="E65" s="46" t="s">
        <v>78</v>
      </c>
      <c r="F65" s="55" t="s">
        <v>62</v>
      </c>
      <c r="G65" s="16"/>
      <c r="H65" s="101"/>
      <c r="I65" s="102"/>
      <c r="J65" s="103"/>
      <c r="K65" s="105"/>
      <c r="L65" s="16"/>
    </row>
    <row r="66" ht="19.5" customHeight="1">
      <c r="A66" s="16"/>
      <c r="B66" s="42">
        <v>46278.0</v>
      </c>
      <c r="C66" s="42"/>
      <c r="D66" s="45">
        <v>545.0</v>
      </c>
      <c r="E66" s="46" t="s">
        <v>80</v>
      </c>
      <c r="F66" s="55" t="s">
        <v>16</v>
      </c>
      <c r="G66" s="16"/>
      <c r="H66" s="101"/>
      <c r="I66" s="102"/>
      <c r="J66" s="103"/>
      <c r="K66" s="105"/>
      <c r="L66" s="16"/>
    </row>
    <row r="67" ht="19.5" customHeight="1">
      <c r="A67" s="16"/>
      <c r="B67" s="42">
        <v>46279.0</v>
      </c>
      <c r="C67" s="42"/>
      <c r="D67" s="45">
        <v>10.0</v>
      </c>
      <c r="E67" s="46" t="s">
        <v>81</v>
      </c>
      <c r="F67" s="55" t="s">
        <v>16</v>
      </c>
      <c r="G67" s="16"/>
      <c r="H67" s="101"/>
      <c r="I67" s="102"/>
      <c r="J67" s="103"/>
      <c r="K67" s="105"/>
      <c r="L67" s="16"/>
    </row>
    <row r="68" ht="19.5" customHeight="1">
      <c r="A68" s="16"/>
      <c r="B68" s="42">
        <v>46280.0</v>
      </c>
      <c r="C68" s="42"/>
      <c r="D68" s="45">
        <v>392.0</v>
      </c>
      <c r="E68" s="46" t="s">
        <v>82</v>
      </c>
      <c r="F68" s="55" t="s">
        <v>23</v>
      </c>
      <c r="G68" s="16"/>
      <c r="H68" s="101"/>
      <c r="I68" s="102"/>
      <c r="J68" s="103"/>
      <c r="K68" s="105"/>
      <c r="L68" s="16"/>
    </row>
    <row r="69" ht="19.5" customHeight="1">
      <c r="A69" s="16"/>
      <c r="B69" s="42">
        <v>46281.0</v>
      </c>
      <c r="C69" s="42"/>
      <c r="D69" s="45">
        <f>10+15</f>
        <v>25</v>
      </c>
      <c r="E69" s="46" t="s">
        <v>81</v>
      </c>
      <c r="F69" s="55" t="s">
        <v>16</v>
      </c>
      <c r="G69" s="16"/>
      <c r="H69" s="101"/>
      <c r="I69" s="102"/>
      <c r="J69" s="103"/>
      <c r="K69" s="105"/>
      <c r="L69" s="16"/>
    </row>
    <row r="70" ht="19.5" customHeight="1">
      <c r="A70" s="16"/>
      <c r="B70" s="42">
        <v>46281.0</v>
      </c>
      <c r="C70" s="42"/>
      <c r="D70" s="45">
        <v>909.0</v>
      </c>
      <c r="E70" s="46" t="s">
        <v>83</v>
      </c>
      <c r="F70" s="55" t="s">
        <v>27</v>
      </c>
      <c r="G70" s="16"/>
      <c r="H70" s="101"/>
      <c r="I70" s="102"/>
      <c r="J70" s="103"/>
      <c r="K70" s="105"/>
      <c r="L70" s="16"/>
    </row>
    <row r="71" ht="19.5" customHeight="1">
      <c r="A71" s="16"/>
      <c r="B71" s="42">
        <v>46281.0</v>
      </c>
      <c r="C71" s="42"/>
      <c r="D71" s="45">
        <v>120.0</v>
      </c>
      <c r="E71" s="46" t="s">
        <v>50</v>
      </c>
      <c r="F71" s="55" t="s">
        <v>16</v>
      </c>
      <c r="G71" s="16"/>
      <c r="H71" s="101"/>
      <c r="I71" s="102"/>
      <c r="J71" s="103"/>
      <c r="K71" s="105"/>
      <c r="L71" s="16"/>
    </row>
    <row r="72" ht="19.5" customHeight="1">
      <c r="A72" s="16"/>
      <c r="B72" s="42">
        <v>46282.0</v>
      </c>
      <c r="C72" s="42"/>
      <c r="D72" s="45">
        <v>15.0</v>
      </c>
      <c r="E72" s="46" t="s">
        <v>84</v>
      </c>
      <c r="F72" s="55" t="s">
        <v>16</v>
      </c>
      <c r="G72" s="16"/>
      <c r="H72" s="101"/>
      <c r="I72" s="102"/>
      <c r="J72" s="103"/>
      <c r="K72" s="105"/>
      <c r="L72" s="16"/>
    </row>
    <row r="73" ht="19.5" customHeight="1">
      <c r="A73" s="16"/>
      <c r="B73" s="42">
        <v>46282.0</v>
      </c>
      <c r="C73" s="42"/>
      <c r="D73" s="45">
        <v>488.0</v>
      </c>
      <c r="E73" s="46" t="s">
        <v>85</v>
      </c>
      <c r="F73" s="55" t="s">
        <v>23</v>
      </c>
      <c r="G73" s="16"/>
      <c r="H73" s="101"/>
      <c r="I73" s="102"/>
      <c r="J73" s="103"/>
      <c r="K73" s="105"/>
      <c r="L73" s="16"/>
    </row>
    <row r="74" ht="19.5" customHeight="1">
      <c r="A74" s="16"/>
      <c r="B74" s="42">
        <v>46283.0</v>
      </c>
      <c r="C74" s="42"/>
      <c r="D74" s="45">
        <v>4524.0</v>
      </c>
      <c r="E74" s="46" t="s">
        <v>87</v>
      </c>
      <c r="F74" s="55" t="s">
        <v>27</v>
      </c>
      <c r="G74" s="16"/>
      <c r="H74" s="101"/>
      <c r="I74" s="102"/>
      <c r="J74" s="103"/>
      <c r="K74" s="105"/>
      <c r="L74" s="16"/>
    </row>
    <row r="75" ht="19.5" customHeight="1">
      <c r="A75" s="16"/>
      <c r="B75" s="42">
        <v>46283.0</v>
      </c>
      <c r="C75" s="42"/>
      <c r="D75" s="45">
        <v>330.0</v>
      </c>
      <c r="E75" s="46" t="s">
        <v>39</v>
      </c>
      <c r="F75" s="55" t="s">
        <v>40</v>
      </c>
      <c r="G75" s="16"/>
      <c r="H75" s="101"/>
      <c r="I75" s="102"/>
      <c r="J75" s="103"/>
      <c r="K75" s="105"/>
      <c r="L75" s="16"/>
    </row>
    <row r="76" ht="19.5" customHeight="1">
      <c r="A76" s="16"/>
      <c r="B76" s="42">
        <v>46283.0</v>
      </c>
      <c r="C76" s="42"/>
      <c r="D76" s="45">
        <f>20</f>
        <v>20</v>
      </c>
      <c r="E76" s="46" t="s">
        <v>52</v>
      </c>
      <c r="F76" s="55" t="s">
        <v>16</v>
      </c>
      <c r="G76" s="16"/>
      <c r="H76" s="101"/>
      <c r="I76" s="102"/>
      <c r="J76" s="103"/>
      <c r="K76" s="105"/>
      <c r="L76" s="16"/>
    </row>
    <row r="77" ht="19.5" customHeight="1">
      <c r="A77" s="16"/>
      <c r="B77" s="42">
        <v>46284.0</v>
      </c>
      <c r="C77" s="42"/>
      <c r="D77" s="45">
        <f>20+20</f>
        <v>40</v>
      </c>
      <c r="E77" s="46" t="s">
        <v>52</v>
      </c>
      <c r="F77" s="55" t="s">
        <v>16</v>
      </c>
      <c r="G77" s="16"/>
      <c r="H77" s="101"/>
      <c r="I77" s="102"/>
      <c r="J77" s="103"/>
      <c r="K77" s="105"/>
      <c r="L77" s="16"/>
    </row>
    <row r="78" ht="19.5" customHeight="1">
      <c r="A78" s="16"/>
      <c r="B78" s="42">
        <v>46284.0</v>
      </c>
      <c r="C78" s="42"/>
      <c r="D78" s="45">
        <v>665.0</v>
      </c>
      <c r="E78" s="46" t="s">
        <v>30</v>
      </c>
      <c r="F78" s="55" t="s">
        <v>27</v>
      </c>
      <c r="G78" s="16"/>
      <c r="H78" s="101"/>
      <c r="I78" s="102"/>
      <c r="J78" s="103"/>
      <c r="K78" s="105"/>
      <c r="L78" s="16"/>
    </row>
    <row r="79" ht="19.5" customHeight="1">
      <c r="A79" s="16"/>
      <c r="B79" s="42">
        <v>46284.0</v>
      </c>
      <c r="C79" s="42"/>
      <c r="D79" s="45">
        <v>500.0</v>
      </c>
      <c r="E79" s="46" t="s">
        <v>90</v>
      </c>
      <c r="F79" s="55" t="s">
        <v>36</v>
      </c>
      <c r="G79" s="16"/>
      <c r="H79" s="101"/>
      <c r="I79" s="102"/>
      <c r="J79" s="103"/>
      <c r="K79" s="105"/>
      <c r="L79" s="16"/>
    </row>
    <row r="80" ht="19.5" customHeight="1">
      <c r="A80" s="16"/>
      <c r="B80" s="42">
        <v>46284.0</v>
      </c>
      <c r="C80" s="42"/>
      <c r="D80" s="45">
        <v>27.0</v>
      </c>
      <c r="E80" s="46" t="s">
        <v>47</v>
      </c>
      <c r="F80" s="55" t="s">
        <v>27</v>
      </c>
      <c r="G80" s="16"/>
      <c r="H80" s="101"/>
      <c r="I80" s="102"/>
      <c r="J80" s="103"/>
      <c r="K80" s="105"/>
      <c r="L80" s="16"/>
    </row>
    <row r="81" ht="19.5" customHeight="1">
      <c r="A81" s="16"/>
      <c r="B81" s="42">
        <v>46284.0</v>
      </c>
      <c r="C81" s="42"/>
      <c r="D81" s="45">
        <v>20.0</v>
      </c>
      <c r="E81" s="46" t="s">
        <v>91</v>
      </c>
      <c r="F81" s="55" t="s">
        <v>27</v>
      </c>
      <c r="G81" s="16"/>
      <c r="H81" s="101"/>
      <c r="I81" s="102"/>
      <c r="J81" s="103"/>
      <c r="K81" s="105"/>
      <c r="L81" s="16"/>
    </row>
    <row r="82" ht="19.5" customHeight="1">
      <c r="A82" s="16"/>
      <c r="B82" s="42">
        <v>46284.0</v>
      </c>
      <c r="C82" s="42"/>
      <c r="D82" s="45">
        <v>150.0</v>
      </c>
      <c r="E82" s="46" t="s">
        <v>92</v>
      </c>
      <c r="F82" s="55" t="s">
        <v>16</v>
      </c>
      <c r="G82" s="16"/>
      <c r="H82" s="101"/>
      <c r="I82" s="102"/>
      <c r="J82" s="103"/>
      <c r="K82" s="105"/>
      <c r="L82" s="16"/>
    </row>
    <row r="83" ht="19.5" customHeight="1">
      <c r="A83" s="16"/>
      <c r="B83" s="42">
        <v>46284.0</v>
      </c>
      <c r="C83" s="42"/>
      <c r="D83" s="45">
        <v>4907.0</v>
      </c>
      <c r="E83" s="46" t="s">
        <v>93</v>
      </c>
      <c r="F83" s="55" t="s">
        <v>27</v>
      </c>
      <c r="G83" s="16"/>
      <c r="H83" s="101"/>
      <c r="I83" s="102"/>
      <c r="J83" s="103"/>
      <c r="K83" s="105"/>
      <c r="L83" s="16"/>
    </row>
    <row r="84" ht="19.5" customHeight="1">
      <c r="A84" s="16"/>
      <c r="B84" s="42">
        <v>46285.0</v>
      </c>
      <c r="C84" s="42"/>
      <c r="D84" s="45">
        <v>449.0</v>
      </c>
      <c r="E84" s="46" t="s">
        <v>94</v>
      </c>
      <c r="F84" s="55" t="s">
        <v>49</v>
      </c>
      <c r="G84" s="16"/>
      <c r="H84" s="101"/>
      <c r="I84" s="102"/>
      <c r="J84" s="103"/>
      <c r="K84" s="105"/>
      <c r="L84" s="16"/>
    </row>
    <row r="85" ht="19.5" customHeight="1">
      <c r="A85" s="16"/>
      <c r="B85" s="42">
        <v>46285.0</v>
      </c>
      <c r="C85" s="42"/>
      <c r="D85" s="45">
        <v>27.0</v>
      </c>
      <c r="E85" s="46" t="s">
        <v>47</v>
      </c>
      <c r="F85" s="55" t="s">
        <v>27</v>
      </c>
      <c r="G85" s="16"/>
      <c r="H85" s="101"/>
      <c r="I85" s="102"/>
      <c r="J85" s="103"/>
      <c r="K85" s="105"/>
      <c r="L85" s="16"/>
    </row>
    <row r="86" ht="19.5" customHeight="1">
      <c r="A86" s="16"/>
      <c r="B86" s="42">
        <v>46285.0</v>
      </c>
      <c r="C86" s="42"/>
      <c r="D86" s="45">
        <v>28.0</v>
      </c>
      <c r="E86" s="46" t="s">
        <v>47</v>
      </c>
      <c r="F86" s="55" t="s">
        <v>27</v>
      </c>
      <c r="G86" s="16"/>
      <c r="H86" s="101"/>
      <c r="I86" s="102"/>
      <c r="J86" s="103"/>
      <c r="K86" s="105"/>
      <c r="L86" s="16"/>
    </row>
    <row r="87" ht="19.5" customHeight="1">
      <c r="A87" s="16"/>
      <c r="B87" s="42">
        <v>46286.0</v>
      </c>
      <c r="C87" s="42"/>
      <c r="D87" s="45">
        <v>1000.0</v>
      </c>
      <c r="E87" s="46" t="s">
        <v>96</v>
      </c>
      <c r="F87" s="55" t="s">
        <v>36</v>
      </c>
      <c r="G87" s="16"/>
      <c r="H87" s="101"/>
      <c r="I87" s="102"/>
      <c r="J87" s="103"/>
      <c r="K87" s="105"/>
      <c r="L87" s="16"/>
    </row>
    <row r="88" ht="19.5" customHeight="1">
      <c r="A88" s="16"/>
      <c r="B88" s="42">
        <v>46287.0</v>
      </c>
      <c r="C88" s="42"/>
      <c r="D88" s="45">
        <v>233.0</v>
      </c>
      <c r="E88" s="46" t="s">
        <v>97</v>
      </c>
      <c r="F88" s="55" t="s">
        <v>27</v>
      </c>
      <c r="G88" s="16"/>
      <c r="H88" s="101"/>
      <c r="I88" s="102"/>
      <c r="J88" s="103"/>
      <c r="K88" s="105"/>
      <c r="L88" s="16"/>
    </row>
    <row r="89" ht="19.5" customHeight="1">
      <c r="A89" s="16"/>
      <c r="B89" s="42">
        <v>46288.0</v>
      </c>
      <c r="C89" s="42"/>
      <c r="D89" s="45">
        <f>10+15</f>
        <v>25</v>
      </c>
      <c r="E89" s="46" t="s">
        <v>81</v>
      </c>
      <c r="F89" s="55" t="s">
        <v>16</v>
      </c>
      <c r="G89" s="16"/>
      <c r="H89" s="101"/>
      <c r="I89" s="102"/>
      <c r="J89" s="103"/>
      <c r="K89" s="105"/>
      <c r="L89" s="16"/>
    </row>
    <row r="90" ht="19.5" customHeight="1">
      <c r="A90" s="16"/>
      <c r="B90" s="42">
        <v>46288.0</v>
      </c>
      <c r="C90" s="42"/>
      <c r="D90" s="45">
        <v>27.0</v>
      </c>
      <c r="E90" s="46" t="s">
        <v>47</v>
      </c>
      <c r="F90" s="55" t="s">
        <v>27</v>
      </c>
      <c r="G90" s="16"/>
      <c r="H90" s="101"/>
      <c r="I90" s="102"/>
      <c r="J90" s="103"/>
      <c r="K90" s="105"/>
      <c r="L90" s="16"/>
    </row>
    <row r="91" ht="19.5" customHeight="1">
      <c r="A91" s="16"/>
      <c r="B91" s="42">
        <v>46289.0</v>
      </c>
      <c r="C91" s="42"/>
      <c r="D91" s="45">
        <v>10.0</v>
      </c>
      <c r="E91" s="46" t="s">
        <v>81</v>
      </c>
      <c r="F91" s="55" t="s">
        <v>16</v>
      </c>
      <c r="G91" s="16"/>
      <c r="H91" s="101"/>
      <c r="I91" s="102"/>
      <c r="J91" s="103"/>
      <c r="K91" s="105"/>
      <c r="L91" s="16"/>
    </row>
    <row r="92" ht="19.5" customHeight="1">
      <c r="A92" s="16"/>
      <c r="B92" s="42">
        <v>46290.0</v>
      </c>
      <c r="C92" s="42"/>
      <c r="D92" s="45">
        <f>10+15</f>
        <v>25</v>
      </c>
      <c r="E92" s="46" t="s">
        <v>81</v>
      </c>
      <c r="F92" s="55" t="s">
        <v>16</v>
      </c>
      <c r="G92" s="16"/>
      <c r="H92" s="101"/>
      <c r="I92" s="102"/>
      <c r="J92" s="103"/>
      <c r="K92" s="105"/>
      <c r="L92" s="16"/>
    </row>
    <row r="93" ht="19.5" customHeight="1">
      <c r="A93" s="16"/>
      <c r="B93" s="42">
        <v>46291.0</v>
      </c>
      <c r="C93" s="42"/>
      <c r="D93" s="45">
        <v>260.0</v>
      </c>
      <c r="E93" s="46" t="s">
        <v>60</v>
      </c>
      <c r="F93" s="55" t="s">
        <v>16</v>
      </c>
      <c r="G93" s="16"/>
      <c r="H93" s="101"/>
      <c r="I93" s="102"/>
      <c r="J93" s="103"/>
      <c r="K93" s="105"/>
      <c r="L93" s="16"/>
    </row>
    <row r="94" ht="19.5" customHeight="1">
      <c r="A94" s="16"/>
      <c r="B94" s="42">
        <v>46291.0</v>
      </c>
      <c r="C94" s="42"/>
      <c r="D94" s="45">
        <v>152.0</v>
      </c>
      <c r="E94" s="46" t="s">
        <v>82</v>
      </c>
      <c r="F94" s="55" t="s">
        <v>23</v>
      </c>
      <c r="G94" s="16"/>
      <c r="H94" s="101"/>
      <c r="I94" s="102"/>
      <c r="J94" s="103"/>
      <c r="K94" s="105"/>
      <c r="L94" s="16"/>
    </row>
    <row r="95" ht="19.5" customHeight="1">
      <c r="A95" s="16"/>
      <c r="B95" s="42">
        <v>46291.0</v>
      </c>
      <c r="C95" s="42"/>
      <c r="D95" s="45">
        <v>20.0</v>
      </c>
      <c r="E95" s="46" t="s">
        <v>33</v>
      </c>
      <c r="F95" s="55" t="s">
        <v>16</v>
      </c>
      <c r="G95" s="16"/>
      <c r="H95" s="101"/>
      <c r="I95" s="102"/>
      <c r="J95" s="103"/>
      <c r="K95" s="105"/>
      <c r="L95" s="16"/>
    </row>
    <row r="96" ht="19.5" customHeight="1">
      <c r="A96" s="16"/>
      <c r="B96" s="42">
        <v>46291.0</v>
      </c>
      <c r="C96" s="42"/>
      <c r="D96" s="45">
        <v>95.0</v>
      </c>
      <c r="E96" s="46" t="s">
        <v>45</v>
      </c>
      <c r="F96" s="55" t="s">
        <v>27</v>
      </c>
      <c r="G96" s="16"/>
      <c r="H96" s="101"/>
      <c r="I96" s="102"/>
      <c r="J96" s="103"/>
      <c r="K96" s="105"/>
      <c r="L96" s="16"/>
    </row>
    <row r="97" ht="19.5" customHeight="1">
      <c r="A97" s="16"/>
      <c r="B97" s="42">
        <v>46291.0</v>
      </c>
      <c r="C97" s="42"/>
      <c r="D97" s="45">
        <v>220.0</v>
      </c>
      <c r="E97" s="46" t="s">
        <v>39</v>
      </c>
      <c r="F97" s="55" t="s">
        <v>40</v>
      </c>
      <c r="G97" s="16"/>
      <c r="H97" s="101"/>
      <c r="I97" s="102"/>
      <c r="J97" s="103"/>
      <c r="K97" s="105"/>
      <c r="L97" s="16"/>
    </row>
    <row r="98" ht="19.5" customHeight="1">
      <c r="A98" s="16"/>
      <c r="B98" s="42">
        <v>46291.0</v>
      </c>
      <c r="C98" s="42"/>
      <c r="D98" s="45">
        <v>20.0</v>
      </c>
      <c r="E98" s="46" t="s">
        <v>33</v>
      </c>
      <c r="F98" s="55" t="s">
        <v>16</v>
      </c>
      <c r="G98" s="16"/>
      <c r="H98" s="101"/>
      <c r="I98" s="102"/>
      <c r="J98" s="103"/>
      <c r="K98" s="105"/>
      <c r="L98" s="16"/>
    </row>
    <row r="99" ht="19.5" customHeight="1">
      <c r="A99" s="16"/>
      <c r="B99" s="42">
        <v>46291.0</v>
      </c>
      <c r="C99" s="42"/>
      <c r="D99" s="45">
        <v>701.0</v>
      </c>
      <c r="E99" s="46" t="s">
        <v>99</v>
      </c>
      <c r="F99" s="55" t="s">
        <v>23</v>
      </c>
      <c r="G99" s="16"/>
      <c r="H99" s="101"/>
      <c r="I99" s="102"/>
      <c r="J99" s="103"/>
      <c r="K99" s="105"/>
      <c r="L99" s="16"/>
    </row>
    <row r="100" ht="19.5" customHeight="1">
      <c r="A100" s="16"/>
      <c r="B100" s="42">
        <v>46291.0</v>
      </c>
      <c r="C100" s="42"/>
      <c r="D100" s="45">
        <v>139.0</v>
      </c>
      <c r="E100" s="46" t="s">
        <v>100</v>
      </c>
      <c r="F100" s="55" t="s">
        <v>27</v>
      </c>
      <c r="G100" s="16"/>
      <c r="H100" s="101"/>
      <c r="I100" s="102"/>
      <c r="J100" s="103"/>
      <c r="K100" s="105"/>
      <c r="L100" s="16"/>
    </row>
    <row r="101" ht="19.5" customHeight="1">
      <c r="A101" s="16"/>
      <c r="B101" s="42">
        <v>46291.0</v>
      </c>
      <c r="C101" s="42"/>
      <c r="D101" s="45">
        <v>100.0</v>
      </c>
      <c r="E101" s="46" t="s">
        <v>101</v>
      </c>
      <c r="F101" s="55" t="s">
        <v>36</v>
      </c>
      <c r="G101" s="16"/>
      <c r="H101" s="101"/>
      <c r="I101" s="102"/>
      <c r="J101" s="103"/>
      <c r="K101" s="105"/>
      <c r="L101" s="16"/>
    </row>
    <row r="102" ht="19.5" customHeight="1">
      <c r="A102" s="16"/>
      <c r="B102" s="42">
        <v>46291.0</v>
      </c>
      <c r="C102" s="42"/>
      <c r="D102" s="45">
        <v>9703.0</v>
      </c>
      <c r="E102" s="46" t="s">
        <v>102</v>
      </c>
      <c r="F102" s="55" t="s">
        <v>36</v>
      </c>
      <c r="G102" s="16"/>
      <c r="H102" s="101"/>
      <c r="I102" s="102"/>
      <c r="J102" s="103"/>
      <c r="K102" s="105"/>
      <c r="L102" s="16"/>
    </row>
    <row r="103" ht="19.5" customHeight="1">
      <c r="A103" s="16"/>
      <c r="B103" s="42">
        <v>46291.0</v>
      </c>
      <c r="C103" s="42"/>
      <c r="D103" s="45">
        <v>299.0</v>
      </c>
      <c r="E103" s="46" t="s">
        <v>103</v>
      </c>
      <c r="F103" s="55" t="s">
        <v>21</v>
      </c>
      <c r="G103" s="16"/>
      <c r="H103" s="101"/>
      <c r="I103" s="102"/>
      <c r="J103" s="103"/>
      <c r="K103" s="105"/>
      <c r="L103" s="16"/>
    </row>
    <row r="104" ht="19.5" customHeight="1">
      <c r="A104" s="16"/>
      <c r="B104" s="42">
        <v>46291.0</v>
      </c>
      <c r="C104" s="42"/>
      <c r="D104" s="45">
        <v>296.0</v>
      </c>
      <c r="E104" s="46" t="s">
        <v>104</v>
      </c>
      <c r="F104" s="55" t="s">
        <v>21</v>
      </c>
      <c r="G104" s="16"/>
      <c r="H104" s="101"/>
      <c r="I104" s="102"/>
      <c r="J104" s="103"/>
      <c r="K104" s="105"/>
      <c r="L104" s="16"/>
    </row>
    <row r="105" ht="19.5" customHeight="1">
      <c r="A105" s="16"/>
      <c r="B105" s="42">
        <v>46292.0</v>
      </c>
      <c r="C105" s="42"/>
      <c r="D105" s="45">
        <v>979.0</v>
      </c>
      <c r="E105" s="46" t="s">
        <v>105</v>
      </c>
      <c r="F105" s="55" t="s">
        <v>36</v>
      </c>
      <c r="G105" s="16"/>
      <c r="H105" s="101"/>
      <c r="I105" s="102"/>
      <c r="J105" s="103"/>
      <c r="K105" s="105"/>
      <c r="L105" s="16"/>
    </row>
    <row r="106" ht="19.5" customHeight="1">
      <c r="A106" s="16"/>
      <c r="B106" s="42">
        <v>46292.0</v>
      </c>
      <c r="C106" s="42"/>
      <c r="D106" s="45">
        <v>15000.0</v>
      </c>
      <c r="E106" s="46" t="s">
        <v>106</v>
      </c>
      <c r="F106" s="55" t="s">
        <v>23</v>
      </c>
      <c r="G106" s="16"/>
      <c r="H106" s="101"/>
      <c r="I106" s="102"/>
      <c r="J106" s="103"/>
      <c r="K106" s="105"/>
      <c r="L106" s="16"/>
    </row>
    <row r="107" ht="19.5" customHeight="1">
      <c r="A107" s="16"/>
      <c r="B107" s="42">
        <v>46292.0</v>
      </c>
      <c r="C107" s="42"/>
      <c r="D107" s="45">
        <v>900.0</v>
      </c>
      <c r="E107" s="46" t="s">
        <v>107</v>
      </c>
      <c r="F107" s="55" t="s">
        <v>23</v>
      </c>
      <c r="G107" s="16"/>
      <c r="H107" s="101"/>
      <c r="I107" s="102"/>
      <c r="J107" s="103"/>
      <c r="K107" s="105"/>
      <c r="L107" s="16"/>
    </row>
    <row r="108" ht="19.5" customHeight="1">
      <c r="A108" s="16"/>
      <c r="B108" s="42">
        <v>46292.0</v>
      </c>
      <c r="C108" s="42"/>
      <c r="D108" s="45">
        <v>1025.0</v>
      </c>
      <c r="E108" s="46" t="s">
        <v>108</v>
      </c>
      <c r="F108" s="55" t="s">
        <v>23</v>
      </c>
      <c r="G108" s="16"/>
      <c r="H108" s="101"/>
      <c r="I108" s="102"/>
      <c r="J108" s="103"/>
      <c r="K108" s="105"/>
      <c r="L108" s="16"/>
    </row>
    <row r="109" ht="19.5" customHeight="1">
      <c r="A109" s="16"/>
      <c r="B109" s="42">
        <v>46292.0</v>
      </c>
      <c r="C109" s="42"/>
      <c r="D109" s="45">
        <v>475.0</v>
      </c>
      <c r="E109" s="46" t="s">
        <v>109</v>
      </c>
      <c r="F109" s="55" t="s">
        <v>21</v>
      </c>
      <c r="G109" s="16"/>
      <c r="H109" s="101"/>
      <c r="I109" s="102"/>
      <c r="J109" s="103"/>
      <c r="K109" s="105"/>
      <c r="L109" s="16"/>
    </row>
    <row r="110" ht="19.5" customHeight="1">
      <c r="A110" s="16"/>
      <c r="B110" s="42">
        <v>46292.0</v>
      </c>
      <c r="C110" s="42"/>
      <c r="D110" s="45">
        <v>20.0</v>
      </c>
      <c r="E110" s="46" t="s">
        <v>110</v>
      </c>
      <c r="F110" s="55" t="s">
        <v>16</v>
      </c>
      <c r="G110" s="16"/>
      <c r="H110" s="101"/>
      <c r="I110" s="102"/>
      <c r="J110" s="103"/>
      <c r="K110" s="105"/>
      <c r="L110" s="16"/>
    </row>
    <row r="111" ht="19.5" customHeight="1">
      <c r="A111" s="16"/>
      <c r="B111" s="42">
        <v>46292.0</v>
      </c>
      <c r="C111" s="42"/>
      <c r="D111" s="45">
        <v>100.0</v>
      </c>
      <c r="E111" s="46" t="s">
        <v>112</v>
      </c>
      <c r="F111" s="55" t="s">
        <v>16</v>
      </c>
      <c r="G111" s="16"/>
      <c r="H111" s="101"/>
      <c r="I111" s="102"/>
      <c r="J111" s="103"/>
      <c r="K111" s="105"/>
      <c r="L111" s="16"/>
    </row>
    <row r="112" ht="19.5" customHeight="1">
      <c r="A112" s="16"/>
      <c r="B112" s="42">
        <v>46292.0</v>
      </c>
      <c r="C112" s="42"/>
      <c r="D112" s="45">
        <v>470.0</v>
      </c>
      <c r="E112" s="46" t="s">
        <v>30</v>
      </c>
      <c r="F112" s="55" t="s">
        <v>27</v>
      </c>
      <c r="G112" s="16"/>
      <c r="H112" s="101"/>
      <c r="I112" s="102"/>
      <c r="J112" s="103"/>
      <c r="K112" s="105"/>
      <c r="L112" s="16"/>
    </row>
    <row r="113" ht="19.5" customHeight="1">
      <c r="A113" s="16"/>
      <c r="B113" s="42">
        <v>46292.0</v>
      </c>
      <c r="C113" s="42"/>
      <c r="D113" s="45">
        <v>85.0</v>
      </c>
      <c r="E113" s="46" t="s">
        <v>113</v>
      </c>
      <c r="F113" s="55" t="s">
        <v>16</v>
      </c>
      <c r="G113" s="16"/>
      <c r="H113" s="101"/>
      <c r="I113" s="102"/>
      <c r="J113" s="103"/>
      <c r="K113" s="105"/>
      <c r="L113" s="16"/>
    </row>
    <row r="114" ht="19.5" customHeight="1">
      <c r="A114" s="16"/>
      <c r="B114" s="42">
        <v>46293.0</v>
      </c>
      <c r="C114" s="42"/>
      <c r="D114" s="45">
        <v>20.0</v>
      </c>
      <c r="E114" s="46" t="s">
        <v>114</v>
      </c>
      <c r="F114" s="55" t="s">
        <v>21</v>
      </c>
      <c r="G114" s="16"/>
      <c r="H114" s="101"/>
      <c r="I114" s="102"/>
      <c r="J114" s="103"/>
      <c r="K114" s="105"/>
      <c r="L114" s="16"/>
    </row>
    <row r="115" ht="19.5" customHeight="1">
      <c r="A115" s="16"/>
      <c r="B115" s="42">
        <v>46293.0</v>
      </c>
      <c r="C115" s="42"/>
      <c r="D115" s="45">
        <v>52.0</v>
      </c>
      <c r="E115" s="46" t="s">
        <v>47</v>
      </c>
      <c r="F115" s="55" t="s">
        <v>27</v>
      </c>
      <c r="G115" s="16"/>
      <c r="H115" s="101"/>
      <c r="I115" s="102"/>
      <c r="J115" s="103"/>
      <c r="K115" s="105"/>
      <c r="L115" s="16"/>
    </row>
    <row r="116" ht="19.5" customHeight="1">
      <c r="A116" s="16"/>
      <c r="B116" s="42">
        <v>46293.0</v>
      </c>
      <c r="C116" s="42"/>
      <c r="D116" s="45">
        <v>20.0</v>
      </c>
      <c r="E116" s="46" t="s">
        <v>115</v>
      </c>
      <c r="F116" s="55" t="s">
        <v>27</v>
      </c>
      <c r="G116" s="16"/>
      <c r="H116" s="101"/>
      <c r="I116" s="102"/>
      <c r="J116" s="103"/>
      <c r="K116" s="105"/>
      <c r="L116" s="16"/>
    </row>
    <row r="117" ht="19.5" customHeight="1">
      <c r="A117" s="16"/>
      <c r="B117" s="42">
        <v>46293.0</v>
      </c>
      <c r="C117" s="42"/>
      <c r="D117" s="45">
        <v>20.0</v>
      </c>
      <c r="E117" s="46" t="s">
        <v>52</v>
      </c>
      <c r="F117" s="55" t="s">
        <v>16</v>
      </c>
      <c r="G117" s="16"/>
      <c r="H117" s="101"/>
      <c r="I117" s="102"/>
      <c r="J117" s="103"/>
      <c r="K117" s="105"/>
      <c r="L117" s="16"/>
    </row>
    <row r="118" ht="19.5" customHeight="1">
      <c r="A118" s="16"/>
      <c r="B118" s="42">
        <v>46293.0</v>
      </c>
      <c r="C118" s="42"/>
      <c r="D118" s="45">
        <v>82.0</v>
      </c>
      <c r="E118" s="46" t="s">
        <v>45</v>
      </c>
      <c r="F118" s="55" t="s">
        <v>27</v>
      </c>
      <c r="G118" s="16"/>
      <c r="H118" s="101"/>
      <c r="I118" s="102"/>
      <c r="J118" s="103"/>
      <c r="K118" s="105"/>
      <c r="L118" s="16"/>
    </row>
    <row r="119" ht="19.5" customHeight="1">
      <c r="A119" s="16"/>
      <c r="B119" s="42">
        <v>46294.0</v>
      </c>
      <c r="C119" s="42"/>
      <c r="D119" s="45">
        <v>20.0</v>
      </c>
      <c r="E119" s="46" t="s">
        <v>52</v>
      </c>
      <c r="F119" s="55" t="s">
        <v>16</v>
      </c>
      <c r="G119" s="16"/>
      <c r="H119" s="101"/>
      <c r="I119" s="102"/>
      <c r="J119" s="103"/>
      <c r="K119" s="105"/>
      <c r="L119" s="16"/>
    </row>
    <row r="120" ht="19.5" customHeight="1">
      <c r="A120" s="16"/>
      <c r="B120" s="42">
        <v>46295.0</v>
      </c>
      <c r="C120" s="42"/>
      <c r="D120" s="45">
        <v>20.0</v>
      </c>
      <c r="E120" s="46" t="s">
        <v>52</v>
      </c>
      <c r="F120" s="55" t="s">
        <v>16</v>
      </c>
      <c r="G120" s="16"/>
      <c r="H120" s="101"/>
      <c r="I120" s="102"/>
      <c r="J120" s="103"/>
      <c r="K120" s="105"/>
      <c r="L120" s="16"/>
    </row>
    <row r="121" ht="19.5" customHeight="1">
      <c r="A121" s="16"/>
      <c r="B121" s="42">
        <v>46295.0</v>
      </c>
      <c r="C121" s="42"/>
      <c r="D121" s="45">
        <v>117.0</v>
      </c>
      <c r="E121" s="46" t="s">
        <v>45</v>
      </c>
      <c r="F121" s="55" t="s">
        <v>27</v>
      </c>
      <c r="G121" s="16"/>
      <c r="H121" s="101"/>
      <c r="I121" s="102"/>
      <c r="J121" s="103"/>
      <c r="K121" s="105"/>
      <c r="L121" s="16"/>
    </row>
    <row r="122" ht="19.5" customHeight="1">
      <c r="A122" s="16"/>
      <c r="B122" s="42">
        <v>46295.0</v>
      </c>
      <c r="C122" s="42"/>
      <c r="D122" s="45">
        <f>817-100</f>
        <v>717</v>
      </c>
      <c r="E122" s="46" t="s">
        <v>22</v>
      </c>
      <c r="F122" s="55" t="s">
        <v>23</v>
      </c>
      <c r="G122" s="16"/>
      <c r="H122" s="101"/>
      <c r="I122" s="102"/>
      <c r="J122" s="103"/>
      <c r="K122" s="105"/>
      <c r="L122" s="16"/>
    </row>
    <row r="123" ht="19.5" customHeight="1">
      <c r="A123" s="16"/>
      <c r="B123" s="42">
        <v>46295.0</v>
      </c>
      <c r="C123" s="42"/>
      <c r="D123" s="45"/>
      <c r="E123" s="46"/>
      <c r="F123" s="55"/>
      <c r="G123" s="16"/>
      <c r="H123" s="101"/>
      <c r="I123" s="102"/>
      <c r="J123" s="103"/>
      <c r="K123" s="105"/>
      <c r="L123" s="16"/>
    </row>
    <row r="124" ht="19.5" customHeight="1">
      <c r="A124" s="16"/>
      <c r="B124" s="42">
        <v>46295.0</v>
      </c>
      <c r="C124" s="42"/>
      <c r="D124" s="45"/>
      <c r="E124" s="46"/>
      <c r="F124" s="55"/>
      <c r="G124" s="16"/>
      <c r="H124" s="101"/>
      <c r="I124" s="102"/>
      <c r="J124" s="103"/>
      <c r="K124" s="105"/>
      <c r="L124" s="16"/>
    </row>
    <row r="125" ht="19.5" customHeight="1">
      <c r="A125" s="16"/>
      <c r="B125" s="42">
        <v>46295.0</v>
      </c>
      <c r="C125" s="42"/>
      <c r="D125" s="45"/>
      <c r="E125" s="46"/>
      <c r="F125" s="55"/>
      <c r="G125" s="16"/>
      <c r="H125" s="101"/>
      <c r="I125" s="102"/>
      <c r="J125" s="103"/>
      <c r="K125" s="105"/>
      <c r="L125" s="16"/>
    </row>
    <row r="126" ht="19.5" customHeight="1">
      <c r="A126" s="16"/>
      <c r="B126" s="42">
        <v>46295.0</v>
      </c>
      <c r="C126" s="42"/>
      <c r="D126" s="45"/>
      <c r="E126" s="46"/>
      <c r="F126" s="55"/>
      <c r="G126" s="16"/>
      <c r="H126" s="101"/>
      <c r="I126" s="102"/>
      <c r="J126" s="103"/>
      <c r="K126" s="105"/>
      <c r="L126" s="16"/>
    </row>
    <row r="127" ht="19.5" customHeight="1">
      <c r="A127" s="16"/>
      <c r="B127" s="42">
        <v>46295.0</v>
      </c>
      <c r="C127" s="42"/>
      <c r="D127" s="45"/>
      <c r="E127" s="46"/>
      <c r="F127" s="55"/>
      <c r="G127" s="16"/>
      <c r="H127" s="101"/>
      <c r="I127" s="102"/>
      <c r="J127" s="103"/>
      <c r="K127" s="105"/>
      <c r="L127" s="16"/>
    </row>
    <row r="128" ht="19.5" customHeight="1">
      <c r="A128" s="16"/>
      <c r="B128" s="42">
        <v>46295.0</v>
      </c>
      <c r="C128" s="42"/>
      <c r="D128" s="45"/>
      <c r="E128" s="46"/>
      <c r="F128" s="55"/>
      <c r="G128" s="16"/>
      <c r="H128" s="101"/>
      <c r="I128" s="102"/>
      <c r="J128" s="103"/>
      <c r="K128" s="105"/>
      <c r="L128" s="16"/>
    </row>
    <row r="129" ht="19.5" customHeight="1">
      <c r="A129" s="16"/>
      <c r="B129" s="42">
        <v>46295.0</v>
      </c>
      <c r="C129" s="42"/>
      <c r="D129" s="45"/>
      <c r="E129" s="46"/>
      <c r="F129" s="55"/>
      <c r="G129" s="16"/>
      <c r="H129" s="101"/>
      <c r="I129" s="102"/>
      <c r="J129" s="103"/>
      <c r="K129" s="105"/>
      <c r="L129" s="16"/>
    </row>
    <row r="130" ht="19.5" customHeight="1">
      <c r="A130" s="16"/>
      <c r="B130" s="42">
        <v>46295.0</v>
      </c>
      <c r="C130" s="42"/>
      <c r="D130" s="45"/>
      <c r="E130" s="46"/>
      <c r="F130" s="55"/>
      <c r="G130" s="16"/>
      <c r="H130" s="101"/>
      <c r="I130" s="102"/>
      <c r="J130" s="103"/>
      <c r="K130" s="105"/>
      <c r="L130" s="16"/>
    </row>
    <row r="131" ht="19.5" customHeight="1">
      <c r="A131" s="16"/>
      <c r="B131" s="42">
        <v>46295.0</v>
      </c>
      <c r="C131" s="42"/>
      <c r="D131" s="45"/>
      <c r="E131" s="46"/>
      <c r="F131" s="55"/>
      <c r="G131" s="16"/>
      <c r="H131" s="101"/>
      <c r="I131" s="102"/>
      <c r="J131" s="103"/>
      <c r="K131" s="105"/>
      <c r="L131" s="16"/>
    </row>
    <row r="132" ht="19.5" customHeight="1">
      <c r="A132" s="16"/>
      <c r="B132" s="42">
        <v>46295.0</v>
      </c>
      <c r="C132" s="42"/>
      <c r="D132" s="45"/>
      <c r="E132" s="46"/>
      <c r="F132" s="55"/>
      <c r="G132" s="16"/>
      <c r="H132" s="101"/>
      <c r="I132" s="102"/>
      <c r="J132" s="103"/>
      <c r="K132" s="105"/>
      <c r="L132" s="16"/>
    </row>
    <row r="133" ht="19.5" customHeight="1">
      <c r="A133" s="16"/>
      <c r="B133" s="42">
        <v>46295.0</v>
      </c>
      <c r="C133" s="42"/>
      <c r="D133" s="45"/>
      <c r="E133" s="46"/>
      <c r="F133" s="55"/>
      <c r="G133" s="16"/>
      <c r="H133" s="101"/>
      <c r="I133" s="102"/>
      <c r="J133" s="103"/>
      <c r="K133" s="105"/>
      <c r="L133" s="16"/>
    </row>
    <row r="134" ht="19.5" customHeight="1">
      <c r="A134" s="16"/>
      <c r="B134" s="42">
        <v>46295.0</v>
      </c>
      <c r="C134" s="42"/>
      <c r="D134" s="45"/>
      <c r="E134" s="46"/>
      <c r="F134" s="55"/>
      <c r="G134" s="16"/>
      <c r="H134" s="101"/>
      <c r="I134" s="102"/>
      <c r="J134" s="103"/>
      <c r="K134" s="105"/>
      <c r="L134" s="16"/>
    </row>
    <row r="135" ht="19.5" customHeight="1">
      <c r="A135" s="16"/>
      <c r="B135" s="42">
        <v>46295.0</v>
      </c>
      <c r="C135" s="42"/>
      <c r="D135" s="45"/>
      <c r="E135" s="46"/>
      <c r="F135" s="55"/>
      <c r="G135" s="16"/>
      <c r="H135" s="101"/>
      <c r="I135" s="102"/>
      <c r="J135" s="103"/>
      <c r="K135" s="105"/>
      <c r="L135" s="16"/>
    </row>
    <row r="136" ht="19.5" customHeight="1">
      <c r="A136" s="16"/>
      <c r="B136" s="42">
        <v>46295.0</v>
      </c>
      <c r="C136" s="42"/>
      <c r="D136" s="45"/>
      <c r="E136" s="46"/>
      <c r="F136" s="55"/>
      <c r="G136" s="16"/>
      <c r="H136" s="101"/>
      <c r="I136" s="102"/>
      <c r="J136" s="103"/>
      <c r="K136" s="105"/>
      <c r="L136" s="16"/>
    </row>
    <row r="137" ht="19.5" customHeight="1">
      <c r="A137" s="16"/>
      <c r="B137" s="42">
        <v>46295.0</v>
      </c>
      <c r="C137" s="42"/>
      <c r="D137" s="45"/>
      <c r="E137" s="46"/>
      <c r="F137" s="55"/>
      <c r="G137" s="16"/>
      <c r="H137" s="101"/>
      <c r="I137" s="102"/>
      <c r="J137" s="103"/>
      <c r="K137" s="105"/>
      <c r="L137" s="16"/>
    </row>
    <row r="138" ht="19.5" customHeight="1">
      <c r="A138" s="16"/>
      <c r="B138" s="42">
        <v>46295.0</v>
      </c>
      <c r="C138" s="42"/>
      <c r="D138" s="45"/>
      <c r="E138" s="46"/>
      <c r="F138" s="55"/>
      <c r="G138" s="16"/>
      <c r="H138" s="101"/>
      <c r="I138" s="102"/>
      <c r="J138" s="103"/>
      <c r="K138" s="105"/>
      <c r="L138" s="16"/>
    </row>
    <row r="139" ht="19.5" customHeight="1">
      <c r="A139" s="16"/>
      <c r="B139" s="42">
        <v>46295.0</v>
      </c>
      <c r="C139" s="42"/>
      <c r="D139" s="45"/>
      <c r="E139" s="46"/>
      <c r="F139" s="55"/>
      <c r="G139" s="16"/>
      <c r="H139" s="101"/>
      <c r="I139" s="102"/>
      <c r="J139" s="103"/>
      <c r="K139" s="105"/>
      <c r="L139" s="16"/>
    </row>
    <row r="140" ht="19.5" customHeight="1">
      <c r="A140" s="16"/>
      <c r="B140" s="42">
        <v>46295.0</v>
      </c>
      <c r="C140" s="42"/>
      <c r="D140" s="45"/>
      <c r="E140" s="46"/>
      <c r="F140" s="55"/>
      <c r="G140" s="16"/>
      <c r="H140" s="101"/>
      <c r="I140" s="102"/>
      <c r="J140" s="103"/>
      <c r="K140" s="105"/>
      <c r="L140" s="16"/>
    </row>
    <row r="141" ht="19.5" customHeight="1">
      <c r="A141" s="16"/>
      <c r="B141" s="42">
        <v>46295.0</v>
      </c>
      <c r="C141" s="42"/>
      <c r="D141" s="45"/>
      <c r="E141" s="46"/>
      <c r="F141" s="55"/>
      <c r="G141" s="16"/>
      <c r="H141" s="101"/>
      <c r="I141" s="102"/>
      <c r="J141" s="103"/>
      <c r="K141" s="105"/>
      <c r="L141" s="16"/>
    </row>
    <row r="142" ht="19.5" customHeight="1">
      <c r="A142" s="16"/>
      <c r="B142" s="42">
        <v>46295.0</v>
      </c>
      <c r="C142" s="42"/>
      <c r="D142" s="45"/>
      <c r="E142" s="46"/>
      <c r="F142" s="55"/>
      <c r="G142" s="16"/>
      <c r="H142" s="101"/>
      <c r="I142" s="102"/>
      <c r="J142" s="103"/>
      <c r="K142" s="105"/>
      <c r="L142" s="16"/>
    </row>
    <row r="143" ht="19.5" customHeight="1">
      <c r="A143" s="16"/>
      <c r="B143" s="42">
        <v>46295.0</v>
      </c>
      <c r="C143" s="42"/>
      <c r="D143" s="45"/>
      <c r="E143" s="46"/>
      <c r="F143" s="55"/>
      <c r="G143" s="16"/>
      <c r="H143" s="101"/>
      <c r="I143" s="102"/>
      <c r="J143" s="103"/>
      <c r="K143" s="105"/>
      <c r="L143" s="16"/>
    </row>
    <row r="144" ht="19.5" customHeight="1">
      <c r="A144" s="16"/>
      <c r="B144" s="42">
        <v>46295.0</v>
      </c>
      <c r="C144" s="42"/>
      <c r="D144" s="45"/>
      <c r="E144" s="46"/>
      <c r="F144" s="55"/>
      <c r="G144" s="16"/>
      <c r="H144" s="101"/>
      <c r="I144" s="102"/>
      <c r="J144" s="103"/>
      <c r="K144" s="105"/>
      <c r="L144" s="16"/>
    </row>
    <row r="145" ht="19.5" customHeight="1">
      <c r="A145" s="16"/>
      <c r="B145" s="42">
        <v>46295.0</v>
      </c>
      <c r="C145" s="42"/>
      <c r="D145" s="45"/>
      <c r="E145" s="46"/>
      <c r="F145" s="55"/>
      <c r="G145" s="16"/>
      <c r="H145" s="101"/>
      <c r="I145" s="102"/>
      <c r="J145" s="103"/>
      <c r="K145" s="105"/>
      <c r="L145" s="16"/>
    </row>
    <row r="146" ht="19.5" customHeight="1">
      <c r="A146" s="16"/>
      <c r="B146" s="42">
        <v>46295.0</v>
      </c>
      <c r="C146" s="42"/>
      <c r="D146" s="45"/>
      <c r="E146" s="46"/>
      <c r="F146" s="55"/>
      <c r="G146" s="16"/>
      <c r="H146" s="101"/>
      <c r="I146" s="102"/>
      <c r="J146" s="103"/>
      <c r="K146" s="105"/>
      <c r="L146" s="16"/>
    </row>
    <row r="147" ht="19.5" customHeight="1">
      <c r="A147" s="16"/>
      <c r="B147" s="42">
        <v>46295.0</v>
      </c>
      <c r="C147" s="42"/>
      <c r="D147" s="45"/>
      <c r="E147" s="46"/>
      <c r="F147" s="55"/>
      <c r="G147" s="16"/>
      <c r="H147" s="101"/>
      <c r="I147" s="102"/>
      <c r="J147" s="103"/>
      <c r="K147" s="105"/>
      <c r="L147" s="16"/>
    </row>
    <row r="148" ht="19.5" customHeight="1">
      <c r="A148" s="16"/>
      <c r="B148" s="42">
        <v>46295.0</v>
      </c>
      <c r="C148" s="42"/>
      <c r="D148" s="45"/>
      <c r="E148" s="46"/>
      <c r="F148" s="55"/>
      <c r="G148" s="16"/>
      <c r="H148" s="101"/>
      <c r="I148" s="102"/>
      <c r="J148" s="103"/>
      <c r="K148" s="105"/>
      <c r="L148" s="16"/>
    </row>
    <row r="149" ht="19.5" customHeight="1">
      <c r="A149" s="16"/>
      <c r="B149" s="42">
        <v>46295.0</v>
      </c>
      <c r="C149" s="42"/>
      <c r="D149" s="45"/>
      <c r="E149" s="46"/>
      <c r="F149" s="55"/>
      <c r="G149" s="16"/>
      <c r="H149" s="101"/>
      <c r="I149" s="102"/>
      <c r="J149" s="103"/>
      <c r="K149" s="105"/>
      <c r="L149" s="16"/>
    </row>
    <row r="150" ht="19.5" customHeight="1">
      <c r="A150" s="16"/>
      <c r="B150" s="42">
        <v>46295.0</v>
      </c>
      <c r="C150" s="42"/>
      <c r="D150" s="45"/>
      <c r="E150" s="46"/>
      <c r="F150" s="55"/>
      <c r="G150" s="16"/>
      <c r="H150" s="101"/>
      <c r="I150" s="102"/>
      <c r="J150" s="103"/>
      <c r="K150" s="105"/>
      <c r="L150" s="16"/>
    </row>
    <row r="151" ht="19.5" customHeight="1">
      <c r="A151" s="16"/>
      <c r="B151" s="42">
        <v>46295.0</v>
      </c>
      <c r="C151" s="42"/>
      <c r="D151" s="45"/>
      <c r="E151" s="46"/>
      <c r="F151" s="55"/>
      <c r="G151" s="16"/>
      <c r="H151" s="101"/>
      <c r="I151" s="102"/>
      <c r="J151" s="103"/>
      <c r="K151" s="105"/>
      <c r="L151" s="16"/>
    </row>
    <row r="152" ht="19.5" customHeight="1">
      <c r="A152" s="16"/>
      <c r="B152" s="42">
        <v>46295.0</v>
      </c>
      <c r="C152" s="42"/>
      <c r="D152" s="45"/>
      <c r="E152" s="46"/>
      <c r="F152" s="55"/>
      <c r="G152" s="16"/>
      <c r="H152" s="101"/>
      <c r="I152" s="102"/>
      <c r="J152" s="103"/>
      <c r="K152" s="105"/>
      <c r="L152" s="16"/>
    </row>
    <row r="153" ht="19.5" customHeight="1">
      <c r="A153" s="16"/>
      <c r="B153" s="42">
        <v>46295.0</v>
      </c>
      <c r="C153" s="42"/>
      <c r="D153" s="45"/>
      <c r="E153" s="46"/>
      <c r="F153" s="55"/>
      <c r="G153" s="16"/>
      <c r="H153" s="101"/>
      <c r="I153" s="102"/>
      <c r="J153" s="103"/>
      <c r="K153" s="105"/>
      <c r="L153" s="16"/>
    </row>
    <row r="154" ht="19.5" customHeight="1">
      <c r="A154" s="16"/>
      <c r="B154" s="42">
        <v>46295.0</v>
      </c>
      <c r="C154" s="42"/>
      <c r="D154" s="45"/>
      <c r="E154" s="46"/>
      <c r="F154" s="55"/>
      <c r="G154" s="16"/>
      <c r="H154" s="101"/>
      <c r="I154" s="102"/>
      <c r="J154" s="103"/>
      <c r="K154" s="105"/>
      <c r="L154" s="16"/>
    </row>
    <row r="155" ht="19.5" customHeight="1">
      <c r="A155" s="16"/>
      <c r="B155" s="42">
        <v>46295.0</v>
      </c>
      <c r="C155" s="42"/>
      <c r="D155" s="45"/>
      <c r="E155" s="46"/>
      <c r="F155" s="55"/>
      <c r="G155" s="16"/>
      <c r="H155" s="101"/>
      <c r="I155" s="102"/>
      <c r="J155" s="103"/>
      <c r="K155" s="105"/>
      <c r="L155" s="16"/>
    </row>
    <row r="156" ht="19.5" customHeight="1">
      <c r="A156" s="16"/>
      <c r="B156" s="42">
        <v>46295.0</v>
      </c>
      <c r="C156" s="42"/>
      <c r="D156" s="45"/>
      <c r="E156" s="46"/>
      <c r="F156" s="55"/>
      <c r="G156" s="16"/>
      <c r="H156" s="101"/>
      <c r="I156" s="102"/>
      <c r="J156" s="103"/>
      <c r="K156" s="105"/>
      <c r="L156" s="16"/>
    </row>
    <row r="157" ht="19.5" customHeight="1">
      <c r="A157" s="16"/>
      <c r="B157" s="42">
        <v>46295.0</v>
      </c>
      <c r="C157" s="42"/>
      <c r="D157" s="45"/>
      <c r="E157" s="46"/>
      <c r="F157" s="55"/>
      <c r="G157" s="16"/>
      <c r="H157" s="101"/>
      <c r="I157" s="102"/>
      <c r="J157" s="103"/>
      <c r="K157" s="105"/>
      <c r="L157" s="16"/>
    </row>
    <row r="158" ht="19.5" customHeight="1">
      <c r="A158" s="16"/>
      <c r="B158" s="42">
        <v>46295.0</v>
      </c>
      <c r="C158" s="42"/>
      <c r="D158" s="45"/>
      <c r="E158" s="46"/>
      <c r="F158" s="55"/>
      <c r="G158" s="16"/>
      <c r="H158" s="101"/>
      <c r="I158" s="102"/>
      <c r="J158" s="103"/>
      <c r="K158" s="105"/>
      <c r="L158" s="16"/>
    </row>
    <row r="159" ht="19.5" customHeight="1">
      <c r="A159" s="16"/>
      <c r="B159" s="42">
        <v>46295.0</v>
      </c>
      <c r="C159" s="42"/>
      <c r="D159" s="45"/>
      <c r="E159" s="46"/>
      <c r="F159" s="55"/>
      <c r="G159" s="16"/>
      <c r="H159" s="101"/>
      <c r="I159" s="102"/>
      <c r="J159" s="103"/>
      <c r="K159" s="105"/>
      <c r="L159" s="16"/>
    </row>
    <row r="160" ht="19.5" customHeight="1">
      <c r="A160" s="16"/>
      <c r="B160" s="42">
        <v>46295.0</v>
      </c>
      <c r="C160" s="42"/>
      <c r="D160" s="45"/>
      <c r="E160" s="46"/>
      <c r="F160" s="55"/>
      <c r="G160" s="16"/>
      <c r="H160" s="101"/>
      <c r="I160" s="102"/>
      <c r="J160" s="103"/>
      <c r="K160" s="105"/>
      <c r="L160" s="16"/>
    </row>
    <row r="161" ht="19.5" customHeight="1">
      <c r="A161" s="16"/>
      <c r="B161" s="42">
        <v>46295.0</v>
      </c>
      <c r="C161" s="42"/>
      <c r="D161" s="45"/>
      <c r="E161" s="46"/>
      <c r="F161" s="55"/>
      <c r="G161" s="16"/>
      <c r="H161" s="101"/>
      <c r="I161" s="102"/>
      <c r="J161" s="103"/>
      <c r="K161" s="105"/>
      <c r="L161" s="16"/>
    </row>
    <row r="162" ht="19.5" customHeight="1">
      <c r="A162" s="16"/>
      <c r="B162" s="42">
        <v>46295.0</v>
      </c>
      <c r="C162" s="42"/>
      <c r="D162" s="45"/>
      <c r="E162" s="46"/>
      <c r="F162" s="55"/>
      <c r="G162" s="16"/>
      <c r="H162" s="101"/>
      <c r="I162" s="102"/>
      <c r="J162" s="103"/>
      <c r="K162" s="105"/>
      <c r="L162" s="16"/>
    </row>
    <row r="163" ht="19.5" customHeight="1">
      <c r="A163" s="16"/>
      <c r="B163" s="42">
        <v>46295.0</v>
      </c>
      <c r="C163" s="42"/>
      <c r="D163" s="45"/>
      <c r="E163" s="46"/>
      <c r="F163" s="55"/>
      <c r="G163" s="16"/>
      <c r="H163" s="101"/>
      <c r="I163" s="102"/>
      <c r="J163" s="103"/>
      <c r="K163" s="105"/>
      <c r="L163" s="16"/>
    </row>
  </sheetData>
  <mergeCells count="1">
    <mergeCell ref="B1:K1"/>
  </mergeCells>
  <dataValidations>
    <dataValidation type="list" allowBlank="1" sqref="K5:K9 K11:K50 K52:K163">
      <formula1>Summary!$H$27:$I$42</formula1>
    </dataValidation>
    <dataValidation type="list" allowBlank="1" sqref="F5:F163">
      <formula1>Summary!$B$27:$C$41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2.38"/>
    <col customWidth="1" min="3" max="3" width="10.0"/>
    <col customWidth="1" min="4" max="4" width="31.5"/>
    <col customWidth="1" min="5" max="5" width="13.25"/>
    <col customWidth="1" min="6" max="6" width="5.13"/>
    <col customWidth="1" min="9" max="9" width="13.25"/>
    <col customWidth="1" min="11" max="11" width="5.13"/>
  </cols>
  <sheetData>
    <row r="1">
      <c r="B1" s="141"/>
      <c r="C1" s="141"/>
      <c r="D1" s="141"/>
      <c r="E1" s="141"/>
      <c r="F1" s="141"/>
      <c r="G1" s="141"/>
      <c r="H1" s="141"/>
      <c r="I1" s="141"/>
      <c r="J1" s="141"/>
    </row>
    <row r="5">
      <c r="B5" s="143"/>
      <c r="C5" s="144"/>
      <c r="D5" s="141"/>
      <c r="E5" s="141"/>
      <c r="G5" s="145"/>
      <c r="H5" s="144"/>
      <c r="I5" s="141"/>
      <c r="J5" s="141"/>
    </row>
    <row r="6">
      <c r="B6" s="143"/>
      <c r="C6" s="144"/>
      <c r="D6" s="141"/>
      <c r="E6" s="141"/>
      <c r="G6" s="143"/>
      <c r="H6" s="144"/>
      <c r="I6" s="141"/>
      <c r="J6" s="141"/>
    </row>
    <row r="7">
      <c r="B7" s="143"/>
      <c r="C7" s="144"/>
      <c r="D7" s="141"/>
      <c r="E7" s="141"/>
      <c r="G7" s="143"/>
      <c r="H7" s="144"/>
      <c r="I7" s="141"/>
      <c r="J7" s="141"/>
    </row>
    <row r="8">
      <c r="B8" s="143"/>
      <c r="C8" s="144"/>
      <c r="D8" s="141"/>
      <c r="E8" s="141"/>
      <c r="G8" s="145"/>
      <c r="H8" s="144"/>
      <c r="I8" s="141"/>
      <c r="J8" s="141"/>
    </row>
    <row r="9">
      <c r="B9" s="143"/>
      <c r="C9" s="144"/>
      <c r="D9" s="141"/>
      <c r="E9" s="141"/>
      <c r="G9" s="145"/>
      <c r="H9" s="144"/>
      <c r="I9" s="141"/>
      <c r="J9" s="141"/>
    </row>
    <row r="10">
      <c r="B10" s="143"/>
      <c r="C10" s="144"/>
      <c r="D10" s="141"/>
      <c r="E10" s="141"/>
      <c r="G10" s="145"/>
      <c r="H10" s="144"/>
    </row>
    <row r="11">
      <c r="B11" s="143"/>
      <c r="C11" s="144"/>
      <c r="D11" s="141"/>
      <c r="E11" s="141"/>
      <c r="G11" s="145"/>
      <c r="H11" s="144"/>
    </row>
    <row r="12">
      <c r="B12" s="143"/>
      <c r="C12" s="144"/>
      <c r="D12" s="141"/>
      <c r="E12" s="141"/>
      <c r="G12" s="145"/>
      <c r="H12" s="144"/>
    </row>
    <row r="13">
      <c r="B13" s="143"/>
      <c r="C13" s="144"/>
      <c r="D13" s="141"/>
      <c r="E13" s="141"/>
      <c r="G13" s="145"/>
      <c r="H13" s="144"/>
    </row>
    <row r="14">
      <c r="B14" s="143"/>
      <c r="C14" s="144"/>
      <c r="D14" s="141"/>
      <c r="E14" s="141"/>
      <c r="G14" s="145"/>
      <c r="H14" s="144"/>
    </row>
    <row r="15">
      <c r="B15" s="143"/>
      <c r="C15" s="144"/>
      <c r="D15" s="141"/>
      <c r="E15" s="141"/>
      <c r="G15" s="145"/>
      <c r="H15" s="144"/>
    </row>
    <row r="16">
      <c r="B16" s="143"/>
      <c r="C16" s="144"/>
      <c r="D16" s="141"/>
      <c r="E16" s="141"/>
      <c r="G16" s="145"/>
      <c r="H16" s="144"/>
      <c r="I16" s="141"/>
      <c r="J16" s="141"/>
    </row>
    <row r="17">
      <c r="B17" s="143"/>
      <c r="C17" s="144"/>
      <c r="D17" s="141"/>
      <c r="E17" s="141"/>
      <c r="G17" s="145"/>
      <c r="H17" s="144"/>
    </row>
    <row r="18">
      <c r="B18" s="143"/>
      <c r="C18" s="144"/>
      <c r="D18" s="141"/>
      <c r="E18" s="141"/>
      <c r="G18" s="145"/>
      <c r="H18" s="144"/>
    </row>
    <row r="19">
      <c r="B19" s="143"/>
      <c r="C19" s="144"/>
      <c r="D19" s="141"/>
      <c r="E19" s="141"/>
      <c r="G19" s="145"/>
      <c r="H19" s="144"/>
    </row>
    <row r="20">
      <c r="B20" s="143"/>
      <c r="C20" s="144"/>
      <c r="D20" s="141"/>
      <c r="E20" s="141"/>
      <c r="G20" s="145"/>
      <c r="H20" s="144"/>
    </row>
    <row r="21">
      <c r="B21" s="143"/>
      <c r="C21" s="144"/>
      <c r="D21" s="141"/>
      <c r="E21" s="141"/>
      <c r="G21" s="145"/>
      <c r="H21" s="144"/>
    </row>
    <row r="22">
      <c r="B22" s="143"/>
      <c r="C22" s="144"/>
      <c r="D22" s="141"/>
      <c r="E22" s="141"/>
      <c r="G22" s="145"/>
      <c r="H22" s="144"/>
    </row>
    <row r="23">
      <c r="B23" s="143"/>
      <c r="C23" s="144"/>
      <c r="D23" s="141"/>
      <c r="E23" s="141"/>
      <c r="G23" s="145"/>
      <c r="H23" s="144"/>
    </row>
    <row r="24">
      <c r="B24" s="143"/>
      <c r="C24" s="144"/>
      <c r="D24" s="141"/>
      <c r="E24" s="141"/>
      <c r="G24" s="145"/>
      <c r="H24" s="144"/>
    </row>
    <row r="25">
      <c r="B25" s="143"/>
      <c r="C25" s="144"/>
      <c r="D25" s="141"/>
      <c r="E25" s="141"/>
      <c r="G25" s="145"/>
      <c r="H25" s="144"/>
    </row>
    <row r="26">
      <c r="B26" s="143"/>
      <c r="C26" s="144"/>
      <c r="D26" s="141"/>
      <c r="E26" s="141"/>
      <c r="G26" s="145"/>
      <c r="H26" s="144"/>
    </row>
    <row r="27">
      <c r="B27" s="143"/>
      <c r="C27" s="144"/>
      <c r="D27" s="141"/>
      <c r="E27" s="141"/>
      <c r="G27" s="145"/>
      <c r="H27" s="144"/>
    </row>
    <row r="28">
      <c r="B28" s="145"/>
      <c r="C28" s="144"/>
      <c r="G28" s="145"/>
      <c r="H28" s="144"/>
    </row>
    <row r="29">
      <c r="B29" s="145"/>
      <c r="C29" s="144"/>
      <c r="G29" s="145"/>
      <c r="H29" s="144"/>
    </row>
    <row r="30">
      <c r="B30" s="145"/>
      <c r="C30" s="144"/>
      <c r="G30" s="145"/>
      <c r="H30" s="144"/>
    </row>
    <row r="31">
      <c r="B31" s="145"/>
      <c r="C31" s="144"/>
      <c r="G31" s="145"/>
      <c r="H31" s="144"/>
    </row>
    <row r="32">
      <c r="B32" s="145"/>
      <c r="C32" s="144"/>
      <c r="G32" s="145"/>
      <c r="H32" s="144"/>
    </row>
    <row r="33">
      <c r="B33" s="145"/>
      <c r="C33" s="144"/>
      <c r="G33" s="145"/>
      <c r="H33" s="144"/>
    </row>
    <row r="34">
      <c r="B34" s="145"/>
      <c r="C34" s="144"/>
      <c r="G34" s="148"/>
      <c r="H34" s="144"/>
    </row>
    <row r="35">
      <c r="B35" s="145"/>
      <c r="C35" s="144"/>
      <c r="G35" s="148"/>
      <c r="H35" s="144"/>
    </row>
    <row r="36">
      <c r="B36" s="145"/>
      <c r="C36" s="144"/>
      <c r="G36" s="148"/>
      <c r="H36" s="144"/>
    </row>
    <row r="37">
      <c r="B37" s="145"/>
      <c r="C37" s="144"/>
      <c r="G37" s="148"/>
      <c r="H37" s="144"/>
    </row>
    <row r="38">
      <c r="B38" s="145"/>
      <c r="C38" s="144"/>
      <c r="G38" s="148"/>
      <c r="H38" s="144"/>
    </row>
    <row r="39">
      <c r="B39" s="145"/>
      <c r="C39" s="144"/>
      <c r="G39" s="148"/>
      <c r="H39" s="144"/>
    </row>
    <row r="40">
      <c r="B40" s="145"/>
      <c r="C40" s="144"/>
      <c r="G40" s="148"/>
      <c r="H40" s="144"/>
    </row>
    <row r="41">
      <c r="B41" s="145"/>
      <c r="C41" s="144"/>
      <c r="G41" s="148"/>
      <c r="H41" s="144"/>
    </row>
    <row r="42">
      <c r="B42" s="145"/>
      <c r="C42" s="144"/>
      <c r="G42" s="148"/>
      <c r="H42" s="144"/>
    </row>
    <row r="43">
      <c r="B43" s="145"/>
      <c r="C43" s="144"/>
      <c r="G43" s="148"/>
      <c r="H43" s="144"/>
    </row>
    <row r="44">
      <c r="B44" s="145"/>
      <c r="C44" s="144"/>
      <c r="G44" s="148"/>
      <c r="H44" s="144"/>
    </row>
    <row r="45">
      <c r="B45" s="145"/>
      <c r="C45" s="144"/>
      <c r="G45" s="148"/>
      <c r="H45" s="144"/>
    </row>
    <row r="46">
      <c r="B46" s="145"/>
      <c r="C46" s="144"/>
      <c r="G46" s="148"/>
      <c r="H46" s="144"/>
    </row>
    <row r="47">
      <c r="B47" s="145"/>
      <c r="C47" s="144"/>
      <c r="G47" s="148"/>
      <c r="H47" s="144"/>
    </row>
    <row r="48">
      <c r="B48" s="145"/>
      <c r="C48" s="144"/>
      <c r="G48" s="148"/>
      <c r="H48" s="144"/>
    </row>
    <row r="49">
      <c r="B49" s="145"/>
      <c r="C49" s="144"/>
      <c r="G49" s="148"/>
      <c r="H49" s="144"/>
    </row>
    <row r="50">
      <c r="B50" s="145"/>
      <c r="C50" s="144"/>
      <c r="G50" s="148"/>
      <c r="H50" s="144"/>
    </row>
    <row r="51">
      <c r="B51" s="145"/>
      <c r="C51" s="144"/>
      <c r="G51" s="148"/>
      <c r="H51" s="144"/>
    </row>
    <row r="52">
      <c r="B52" s="145"/>
      <c r="C52" s="144"/>
      <c r="G52" s="148"/>
      <c r="H52" s="144"/>
    </row>
    <row r="53">
      <c r="B53" s="145"/>
      <c r="C53" s="144"/>
      <c r="G53" s="148"/>
      <c r="H53" s="144"/>
    </row>
    <row r="54">
      <c r="B54" s="145"/>
      <c r="C54" s="144"/>
      <c r="G54" s="148"/>
      <c r="H54" s="144"/>
    </row>
    <row r="55">
      <c r="B55" s="145"/>
      <c r="C55" s="144"/>
      <c r="G55" s="148"/>
      <c r="H55" s="144"/>
    </row>
    <row r="56">
      <c r="B56" s="145"/>
      <c r="C56" s="144"/>
      <c r="G56" s="148"/>
      <c r="H56" s="144"/>
    </row>
    <row r="57">
      <c r="B57" s="145"/>
      <c r="C57" s="144"/>
      <c r="G57" s="148"/>
      <c r="H57" s="144"/>
    </row>
    <row r="58">
      <c r="B58" s="145"/>
      <c r="C58" s="144"/>
      <c r="G58" s="148"/>
      <c r="H58" s="144"/>
    </row>
    <row r="59">
      <c r="B59" s="145"/>
      <c r="C59" s="144"/>
      <c r="G59" s="148"/>
      <c r="H59" s="144"/>
    </row>
    <row r="60">
      <c r="B60" s="145"/>
      <c r="C60" s="144"/>
      <c r="G60" s="148"/>
      <c r="H60" s="144"/>
    </row>
    <row r="61">
      <c r="B61" s="145"/>
      <c r="C61" s="144"/>
      <c r="G61" s="148"/>
      <c r="H61" s="144"/>
    </row>
    <row r="62">
      <c r="B62" s="145"/>
      <c r="C62" s="144"/>
      <c r="G62" s="148"/>
      <c r="H62" s="144"/>
    </row>
    <row r="63">
      <c r="B63" s="145"/>
      <c r="C63" s="144"/>
      <c r="G63" s="148"/>
      <c r="H63" s="144"/>
    </row>
    <row r="64">
      <c r="B64" s="145"/>
      <c r="C64" s="144"/>
      <c r="G64" s="148"/>
      <c r="H64" s="144"/>
    </row>
    <row r="65">
      <c r="B65" s="145"/>
      <c r="C65" s="144"/>
      <c r="G65" s="148"/>
      <c r="H65" s="144"/>
    </row>
    <row r="66">
      <c r="B66" s="145"/>
      <c r="C66" s="144"/>
      <c r="G66" s="148"/>
      <c r="H66" s="144"/>
    </row>
    <row r="67">
      <c r="B67" s="145"/>
      <c r="C67" s="144"/>
      <c r="G67" s="148"/>
      <c r="H67" s="144"/>
    </row>
    <row r="68">
      <c r="B68" s="145"/>
      <c r="C68" s="144"/>
      <c r="G68" s="148"/>
      <c r="H68" s="144"/>
    </row>
    <row r="69">
      <c r="B69" s="145"/>
      <c r="C69" s="144"/>
      <c r="G69" s="148"/>
      <c r="H69" s="144"/>
    </row>
    <row r="70">
      <c r="B70" s="145"/>
      <c r="C70" s="144"/>
      <c r="G70" s="148"/>
      <c r="H70" s="144"/>
    </row>
    <row r="71">
      <c r="B71" s="145"/>
      <c r="C71" s="144"/>
      <c r="G71" s="148"/>
      <c r="H71" s="144"/>
    </row>
    <row r="72">
      <c r="B72" s="145"/>
      <c r="C72" s="144"/>
      <c r="G72" s="148"/>
      <c r="H72" s="144"/>
    </row>
    <row r="73">
      <c r="B73" s="145"/>
      <c r="C73" s="144"/>
      <c r="G73" s="148"/>
      <c r="H73" s="144"/>
    </row>
    <row r="74">
      <c r="B74" s="145"/>
      <c r="C74" s="144"/>
      <c r="G74" s="148"/>
      <c r="H74" s="144"/>
    </row>
    <row r="75">
      <c r="B75" s="145"/>
      <c r="C75" s="144"/>
      <c r="G75" s="148"/>
      <c r="H75" s="144"/>
    </row>
    <row r="76">
      <c r="B76" s="145"/>
      <c r="C76" s="144"/>
      <c r="G76" s="148"/>
      <c r="H76" s="144"/>
    </row>
    <row r="77">
      <c r="B77" s="145"/>
      <c r="C77" s="144"/>
      <c r="G77" s="148"/>
      <c r="H77" s="144"/>
    </row>
    <row r="78">
      <c r="B78" s="145"/>
      <c r="C78" s="144"/>
      <c r="G78" s="148"/>
      <c r="H78" s="144"/>
    </row>
    <row r="79">
      <c r="B79" s="145"/>
      <c r="C79" s="144"/>
      <c r="G79" s="148"/>
      <c r="H79" s="144"/>
    </row>
    <row r="80">
      <c r="B80" s="145"/>
      <c r="C80" s="144"/>
      <c r="G80" s="148"/>
      <c r="H80" s="144"/>
    </row>
    <row r="81">
      <c r="B81" s="145"/>
      <c r="C81" s="144"/>
      <c r="G81" s="148"/>
      <c r="H81" s="144"/>
    </row>
    <row r="82">
      <c r="B82" s="145"/>
      <c r="C82" s="144"/>
      <c r="G82" s="148"/>
      <c r="H82" s="144"/>
    </row>
    <row r="83">
      <c r="B83" s="145"/>
      <c r="C83" s="144"/>
      <c r="G83" s="148"/>
      <c r="H83" s="144"/>
    </row>
    <row r="84">
      <c r="B84" s="145"/>
      <c r="C84" s="144"/>
      <c r="G84" s="148"/>
      <c r="H84" s="144"/>
    </row>
    <row r="85">
      <c r="B85" s="145"/>
      <c r="C85" s="144"/>
      <c r="G85" s="148"/>
      <c r="H85" s="144"/>
    </row>
    <row r="86">
      <c r="B86" s="145"/>
      <c r="C86" s="144"/>
      <c r="G86" s="148"/>
      <c r="H86" s="144"/>
    </row>
    <row r="87">
      <c r="B87" s="145"/>
      <c r="C87" s="144"/>
      <c r="G87" s="148"/>
      <c r="H87" s="144"/>
    </row>
    <row r="88">
      <c r="B88" s="145"/>
      <c r="C88" s="144"/>
      <c r="G88" s="148"/>
      <c r="H88" s="144"/>
    </row>
    <row r="89">
      <c r="B89" s="145"/>
      <c r="C89" s="144"/>
      <c r="G89" s="148"/>
      <c r="H89" s="144"/>
    </row>
    <row r="90">
      <c r="B90" s="145"/>
      <c r="C90" s="144"/>
      <c r="G90" s="148"/>
      <c r="H90" s="144"/>
    </row>
    <row r="91">
      <c r="B91" s="145"/>
      <c r="C91" s="144"/>
      <c r="G91" s="148"/>
      <c r="H91" s="144"/>
    </row>
    <row r="92">
      <c r="B92" s="145"/>
      <c r="C92" s="144"/>
      <c r="G92" s="148"/>
      <c r="H92" s="144"/>
    </row>
    <row r="93">
      <c r="B93" s="145"/>
      <c r="C93" s="144"/>
      <c r="G93" s="148"/>
      <c r="H93" s="144"/>
    </row>
    <row r="94">
      <c r="B94" s="145"/>
      <c r="C94" s="144"/>
      <c r="G94" s="148"/>
      <c r="H94" s="144"/>
    </row>
    <row r="95">
      <c r="B95" s="145"/>
      <c r="C95" s="144"/>
      <c r="G95" s="148"/>
      <c r="H95" s="144"/>
    </row>
    <row r="96">
      <c r="B96" s="145"/>
      <c r="C96" s="144"/>
      <c r="G96" s="148"/>
      <c r="H96" s="144"/>
    </row>
    <row r="97">
      <c r="B97" s="145"/>
      <c r="C97" s="144"/>
      <c r="G97" s="148"/>
      <c r="H97" s="144"/>
    </row>
    <row r="98">
      <c r="B98" s="145"/>
      <c r="C98" s="144"/>
      <c r="G98" s="148"/>
      <c r="H98" s="144"/>
    </row>
    <row r="99">
      <c r="B99" s="145"/>
      <c r="C99" s="144"/>
      <c r="G99" s="148"/>
      <c r="H99" s="144"/>
    </row>
    <row r="100">
      <c r="B100" s="145"/>
      <c r="C100" s="144"/>
      <c r="G100" s="148"/>
      <c r="H100" s="144"/>
    </row>
    <row r="101">
      <c r="B101" s="145"/>
      <c r="C101" s="144"/>
      <c r="G101" s="148"/>
      <c r="H101" s="144"/>
    </row>
    <row r="102">
      <c r="B102" s="145"/>
      <c r="C102" s="144"/>
      <c r="G102" s="148"/>
      <c r="H102" s="144"/>
    </row>
    <row r="103">
      <c r="B103" s="145"/>
      <c r="C103" s="144"/>
      <c r="G103" s="148"/>
      <c r="H103" s="144"/>
    </row>
    <row r="104">
      <c r="B104" s="145"/>
      <c r="C104" s="144"/>
      <c r="G104" s="148"/>
      <c r="H104" s="144"/>
    </row>
    <row r="105">
      <c r="B105" s="145"/>
      <c r="C105" s="144"/>
      <c r="G105" s="148"/>
      <c r="H105" s="144"/>
    </row>
    <row r="106">
      <c r="B106" s="145"/>
      <c r="C106" s="144"/>
      <c r="G106" s="148"/>
      <c r="H106" s="144"/>
    </row>
    <row r="107">
      <c r="B107" s="145"/>
      <c r="C107" s="144"/>
      <c r="G107" s="148"/>
      <c r="H107" s="144"/>
    </row>
    <row r="108">
      <c r="B108" s="145"/>
      <c r="C108" s="144"/>
      <c r="G108" s="148"/>
      <c r="H108" s="144"/>
    </row>
    <row r="109">
      <c r="B109" s="145"/>
      <c r="C109" s="144"/>
      <c r="G109" s="148"/>
      <c r="H109" s="144"/>
    </row>
    <row r="110">
      <c r="B110" s="145"/>
      <c r="C110" s="144"/>
      <c r="G110" s="148"/>
      <c r="H110" s="144"/>
    </row>
    <row r="111">
      <c r="B111" s="145"/>
      <c r="C111" s="144"/>
      <c r="G111" s="148"/>
      <c r="H111" s="144"/>
    </row>
    <row r="112">
      <c r="B112" s="145"/>
      <c r="C112" s="144"/>
      <c r="G112" s="148"/>
      <c r="H112" s="144"/>
    </row>
    <row r="113">
      <c r="B113" s="145"/>
      <c r="C113" s="144"/>
      <c r="G113" s="148"/>
      <c r="H113" s="144"/>
    </row>
    <row r="114">
      <c r="B114" s="145"/>
      <c r="C114" s="144"/>
      <c r="G114" s="148"/>
      <c r="H114" s="144"/>
    </row>
    <row r="115">
      <c r="B115" s="145"/>
      <c r="C115" s="144"/>
      <c r="G115" s="148"/>
      <c r="H115" s="144"/>
    </row>
    <row r="116">
      <c r="B116" s="145"/>
      <c r="C116" s="144"/>
      <c r="G116" s="148"/>
      <c r="H116" s="144"/>
    </row>
    <row r="117">
      <c r="B117" s="145"/>
      <c r="C117" s="144"/>
      <c r="G117" s="148"/>
      <c r="H117" s="144"/>
    </row>
    <row r="118">
      <c r="B118" s="145"/>
      <c r="C118" s="144"/>
      <c r="G118" s="148"/>
      <c r="H118" s="144"/>
    </row>
    <row r="119">
      <c r="B119" s="145"/>
      <c r="C119" s="144"/>
      <c r="G119" s="148"/>
      <c r="H119" s="144"/>
    </row>
    <row r="120">
      <c r="B120" s="145"/>
      <c r="C120" s="144"/>
      <c r="G120" s="148"/>
      <c r="H120" s="144"/>
    </row>
    <row r="121">
      <c r="B121" s="145"/>
      <c r="C121" s="144"/>
      <c r="G121" s="148"/>
      <c r="H121" s="144"/>
    </row>
    <row r="122">
      <c r="B122" s="145"/>
      <c r="C122" s="144"/>
      <c r="G122" s="148"/>
      <c r="H122" s="144"/>
    </row>
    <row r="123">
      <c r="B123" s="145"/>
      <c r="C123" s="144"/>
      <c r="G123" s="148"/>
      <c r="H123" s="144"/>
    </row>
    <row r="124">
      <c r="B124" s="145"/>
      <c r="C124" s="144"/>
      <c r="G124" s="148"/>
      <c r="H124" s="144"/>
    </row>
    <row r="125">
      <c r="B125" s="145"/>
      <c r="C125" s="144"/>
      <c r="G125" s="148"/>
      <c r="H125" s="144"/>
    </row>
    <row r="126">
      <c r="B126" s="145"/>
      <c r="C126" s="144"/>
      <c r="G126" s="148"/>
      <c r="H126" s="144"/>
    </row>
    <row r="127">
      <c r="B127" s="145"/>
      <c r="C127" s="144"/>
      <c r="G127" s="148"/>
      <c r="H127" s="144"/>
    </row>
    <row r="128">
      <c r="B128" s="145"/>
      <c r="C128" s="144"/>
      <c r="G128" s="148"/>
      <c r="H128" s="144"/>
    </row>
    <row r="129">
      <c r="B129" s="145"/>
      <c r="C129" s="144"/>
      <c r="G129" s="148"/>
      <c r="H129" s="144"/>
    </row>
    <row r="130">
      <c r="B130" s="145"/>
      <c r="C130" s="144"/>
      <c r="G130" s="148"/>
      <c r="H130" s="144"/>
    </row>
    <row r="131">
      <c r="B131" s="145"/>
      <c r="C131" s="144"/>
      <c r="G131" s="148"/>
      <c r="H131" s="144"/>
    </row>
    <row r="132">
      <c r="B132" s="145"/>
      <c r="C132" s="144"/>
      <c r="G132" s="148"/>
      <c r="H132" s="144"/>
    </row>
    <row r="133">
      <c r="B133" s="145"/>
      <c r="C133" s="144"/>
      <c r="G133" s="148"/>
      <c r="H133" s="144"/>
    </row>
    <row r="134">
      <c r="B134" s="145"/>
      <c r="C134" s="144"/>
      <c r="G134" s="148"/>
      <c r="H134" s="144"/>
    </row>
    <row r="135">
      <c r="B135" s="145"/>
      <c r="C135" s="144"/>
      <c r="G135" s="148"/>
      <c r="H135" s="144"/>
    </row>
    <row r="136">
      <c r="B136" s="145"/>
      <c r="C136" s="144"/>
      <c r="G136" s="148"/>
      <c r="H136" s="144"/>
    </row>
    <row r="137">
      <c r="B137" s="145"/>
      <c r="C137" s="144"/>
      <c r="G137" s="148"/>
      <c r="H137" s="144"/>
    </row>
    <row r="138">
      <c r="B138" s="145"/>
      <c r="C138" s="144"/>
      <c r="G138" s="148"/>
      <c r="H138" s="144"/>
    </row>
    <row r="139">
      <c r="B139" s="145"/>
      <c r="C139" s="144"/>
      <c r="G139" s="148"/>
      <c r="H139" s="144"/>
    </row>
    <row r="140">
      <c r="B140" s="145"/>
      <c r="C140" s="144"/>
      <c r="G140" s="148"/>
      <c r="H140" s="144"/>
    </row>
    <row r="141">
      <c r="B141" s="145"/>
      <c r="C141" s="144"/>
      <c r="G141" s="148"/>
      <c r="H141" s="144"/>
    </row>
    <row r="142">
      <c r="B142" s="145"/>
      <c r="C142" s="144"/>
      <c r="G142" s="148"/>
      <c r="H142" s="144"/>
    </row>
    <row r="143">
      <c r="B143" s="145"/>
      <c r="C143" s="144"/>
      <c r="G143" s="148"/>
      <c r="H143" s="144"/>
    </row>
    <row r="144">
      <c r="B144" s="145"/>
      <c r="C144" s="144"/>
      <c r="G144" s="148"/>
      <c r="H144" s="144"/>
    </row>
    <row r="145">
      <c r="B145" s="145"/>
      <c r="C145" s="144"/>
      <c r="G145" s="148"/>
      <c r="H145" s="144"/>
    </row>
    <row r="146">
      <c r="B146" s="145"/>
      <c r="C146" s="144"/>
      <c r="G146" s="148"/>
      <c r="H146" s="144"/>
    </row>
    <row r="147">
      <c r="B147" s="145"/>
      <c r="C147" s="144"/>
      <c r="G147" s="148"/>
      <c r="H147" s="144"/>
    </row>
    <row r="148">
      <c r="B148" s="145"/>
      <c r="C148" s="144"/>
      <c r="G148" s="148"/>
      <c r="H148" s="144"/>
    </row>
    <row r="149">
      <c r="B149" s="145"/>
      <c r="C149" s="144"/>
      <c r="G149" s="148"/>
      <c r="H149" s="144"/>
    </row>
    <row r="150">
      <c r="B150" s="145"/>
      <c r="C150" s="144"/>
      <c r="G150" s="148"/>
      <c r="H150" s="144"/>
    </row>
    <row r="151">
      <c r="B151" s="145"/>
      <c r="C151" s="144"/>
      <c r="G151" s="148"/>
      <c r="H151" s="144"/>
    </row>
    <row r="152">
      <c r="B152" s="145"/>
      <c r="C152" s="144"/>
      <c r="G152" s="148"/>
      <c r="H152" s="144"/>
    </row>
    <row r="153">
      <c r="B153" s="145"/>
      <c r="C153" s="144"/>
      <c r="G153" s="148"/>
      <c r="H153" s="144"/>
    </row>
    <row r="154">
      <c r="B154" s="145"/>
      <c r="C154" s="144"/>
      <c r="G154" s="148"/>
      <c r="H154" s="144"/>
    </row>
    <row r="155">
      <c r="B155" s="145"/>
      <c r="C155" s="144"/>
      <c r="G155" s="148"/>
      <c r="H155" s="144"/>
    </row>
    <row r="156">
      <c r="B156" s="145"/>
      <c r="C156" s="144"/>
      <c r="G156" s="148"/>
      <c r="H156" s="144"/>
    </row>
    <row r="157">
      <c r="B157" s="145"/>
      <c r="C157" s="144"/>
      <c r="G157" s="148"/>
      <c r="H157" s="144"/>
    </row>
    <row r="158">
      <c r="B158" s="145"/>
      <c r="C158" s="144"/>
      <c r="G158" s="148"/>
      <c r="H158" s="144"/>
    </row>
    <row r="159">
      <c r="B159" s="145"/>
      <c r="C159" s="144"/>
      <c r="G159" s="148"/>
      <c r="H159" s="144"/>
    </row>
    <row r="160">
      <c r="B160" s="145"/>
      <c r="C160" s="144"/>
      <c r="G160" s="148"/>
      <c r="H160" s="144"/>
    </row>
    <row r="161">
      <c r="B161" s="145"/>
      <c r="C161" s="144"/>
      <c r="G161" s="148"/>
      <c r="H161" s="144"/>
    </row>
    <row r="162">
      <c r="B162" s="145"/>
      <c r="C162" s="144"/>
      <c r="G162" s="148"/>
      <c r="H162" s="144"/>
    </row>
    <row r="163">
      <c r="B163" s="145"/>
      <c r="C163" s="144"/>
      <c r="G163" s="148"/>
      <c r="H163" s="144"/>
    </row>
    <row r="164">
      <c r="B164" s="145"/>
      <c r="C164" s="144"/>
      <c r="G164" s="148"/>
      <c r="H164" s="144"/>
    </row>
    <row r="165">
      <c r="B165" s="145"/>
      <c r="C165" s="144"/>
      <c r="G165" s="148"/>
      <c r="H165" s="144"/>
    </row>
    <row r="166">
      <c r="B166" s="145"/>
      <c r="C166" s="144"/>
      <c r="G166" s="148"/>
      <c r="H166" s="144"/>
    </row>
    <row r="167">
      <c r="B167" s="145"/>
      <c r="C167" s="144"/>
      <c r="G167" s="148"/>
      <c r="H167" s="144"/>
    </row>
    <row r="168">
      <c r="B168" s="145"/>
      <c r="C168" s="144"/>
      <c r="G168" s="148"/>
      <c r="H168" s="144"/>
    </row>
    <row r="169">
      <c r="B169" s="145"/>
      <c r="C169" s="144"/>
      <c r="G169" s="148"/>
      <c r="H169" s="144"/>
    </row>
    <row r="170">
      <c r="B170" s="145"/>
      <c r="C170" s="144"/>
      <c r="G170" s="148"/>
      <c r="H170" s="144"/>
    </row>
    <row r="171">
      <c r="B171" s="145"/>
      <c r="C171" s="144"/>
      <c r="G171" s="148"/>
      <c r="H171" s="144"/>
    </row>
    <row r="172">
      <c r="B172" s="145"/>
      <c r="C172" s="144"/>
      <c r="G172" s="148"/>
      <c r="H172" s="144"/>
    </row>
    <row r="173">
      <c r="B173" s="145"/>
      <c r="C173" s="144"/>
      <c r="G173" s="148"/>
      <c r="H173" s="144"/>
    </row>
    <row r="174">
      <c r="B174" s="145"/>
      <c r="C174" s="144"/>
      <c r="G174" s="148"/>
      <c r="H174" s="144"/>
    </row>
    <row r="175">
      <c r="B175" s="145"/>
      <c r="C175" s="144"/>
      <c r="G175" s="148"/>
      <c r="H175" s="144"/>
    </row>
    <row r="176">
      <c r="B176" s="145"/>
      <c r="C176" s="144"/>
      <c r="G176" s="148"/>
      <c r="H176" s="144"/>
    </row>
    <row r="177">
      <c r="B177" s="145"/>
      <c r="C177" s="144"/>
      <c r="G177" s="148"/>
      <c r="H177" s="144"/>
    </row>
    <row r="178">
      <c r="B178" s="145"/>
      <c r="C178" s="144"/>
      <c r="G178" s="148"/>
      <c r="H178" s="144"/>
    </row>
    <row r="179">
      <c r="B179" s="145"/>
      <c r="C179" s="144"/>
      <c r="G179" s="148"/>
      <c r="H179" s="144"/>
    </row>
    <row r="180">
      <c r="B180" s="145"/>
      <c r="C180" s="144"/>
      <c r="G180" s="148"/>
      <c r="H180" s="144"/>
    </row>
    <row r="181">
      <c r="B181" s="145"/>
      <c r="C181" s="144"/>
      <c r="G181" s="148"/>
      <c r="H181" s="144"/>
    </row>
    <row r="182">
      <c r="B182" s="145"/>
      <c r="C182" s="144"/>
      <c r="G182" s="148"/>
      <c r="H182" s="144"/>
    </row>
    <row r="183">
      <c r="B183" s="145"/>
      <c r="C183" s="144"/>
      <c r="G183" s="148"/>
      <c r="H183" s="144"/>
    </row>
    <row r="184">
      <c r="B184" s="145"/>
      <c r="C184" s="144"/>
      <c r="G184" s="148"/>
      <c r="H184" s="144"/>
    </row>
    <row r="185">
      <c r="B185" s="145"/>
      <c r="C185" s="144"/>
      <c r="G185" s="148"/>
      <c r="H185" s="144"/>
    </row>
    <row r="186">
      <c r="B186" s="145"/>
      <c r="C186" s="144"/>
      <c r="G186" s="148"/>
      <c r="H186" s="144"/>
    </row>
    <row r="187">
      <c r="B187" s="145"/>
      <c r="C187" s="144"/>
      <c r="G187" s="148"/>
      <c r="H187" s="144"/>
    </row>
    <row r="188">
      <c r="B188" s="145"/>
      <c r="C188" s="144"/>
      <c r="G188" s="148"/>
      <c r="H188" s="144"/>
    </row>
    <row r="189">
      <c r="B189" s="145"/>
      <c r="C189" s="144"/>
      <c r="G189" s="148"/>
      <c r="H189" s="144"/>
    </row>
    <row r="190">
      <c r="B190" s="145"/>
      <c r="C190" s="144"/>
      <c r="G190" s="148"/>
      <c r="H190" s="144"/>
    </row>
    <row r="191">
      <c r="B191" s="145"/>
      <c r="C191" s="144"/>
      <c r="G191" s="148"/>
      <c r="H191" s="144"/>
    </row>
    <row r="192">
      <c r="B192" s="145"/>
      <c r="C192" s="144"/>
      <c r="G192" s="148"/>
      <c r="H192" s="144"/>
    </row>
    <row r="193">
      <c r="B193" s="145"/>
      <c r="C193" s="144"/>
      <c r="G193" s="148"/>
      <c r="H193" s="144"/>
    </row>
    <row r="194">
      <c r="B194" s="145"/>
      <c r="C194" s="144"/>
      <c r="G194" s="148"/>
      <c r="H194" s="144"/>
    </row>
    <row r="195">
      <c r="B195" s="145"/>
      <c r="C195" s="144"/>
      <c r="G195" s="148"/>
      <c r="H195" s="144"/>
    </row>
    <row r="196">
      <c r="B196" s="145"/>
      <c r="C196" s="144"/>
      <c r="G196" s="148"/>
      <c r="H196" s="144"/>
    </row>
    <row r="197">
      <c r="B197" s="145"/>
      <c r="C197" s="144"/>
      <c r="G197" s="148"/>
      <c r="H197" s="144"/>
    </row>
    <row r="198">
      <c r="B198" s="145"/>
      <c r="C198" s="144"/>
      <c r="G198" s="148"/>
      <c r="H198" s="144"/>
    </row>
    <row r="199">
      <c r="B199" s="145"/>
      <c r="C199" s="144"/>
      <c r="G199" s="148"/>
      <c r="H199" s="144"/>
    </row>
    <row r="200">
      <c r="B200" s="145"/>
      <c r="C200" s="144"/>
      <c r="G200" s="148"/>
      <c r="H200" s="144"/>
    </row>
    <row r="201">
      <c r="B201" s="145"/>
      <c r="C201" s="144"/>
      <c r="G201" s="148"/>
      <c r="H201" s="144"/>
    </row>
    <row r="202">
      <c r="B202" s="145"/>
      <c r="C202" s="144"/>
      <c r="G202" s="148"/>
      <c r="H202" s="144"/>
    </row>
    <row r="203">
      <c r="B203" s="145"/>
      <c r="C203" s="144"/>
      <c r="G203" s="148"/>
      <c r="H203" s="144"/>
    </row>
    <row r="204">
      <c r="B204" s="145"/>
      <c r="C204" s="144"/>
      <c r="G204" s="148"/>
      <c r="H204" s="144"/>
    </row>
    <row r="205">
      <c r="B205" s="145"/>
      <c r="C205" s="144"/>
      <c r="G205" s="148"/>
      <c r="H205" s="144"/>
    </row>
    <row r="206">
      <c r="B206" s="145"/>
      <c r="C206" s="144"/>
      <c r="G206" s="148"/>
      <c r="H206" s="144"/>
    </row>
    <row r="207">
      <c r="B207" s="145"/>
      <c r="C207" s="144"/>
      <c r="G207" s="148"/>
      <c r="H207" s="144"/>
    </row>
    <row r="208">
      <c r="B208" s="145"/>
      <c r="C208" s="144"/>
      <c r="G208" s="148"/>
      <c r="H208" s="144"/>
    </row>
    <row r="209">
      <c r="B209" s="145"/>
      <c r="C209" s="144"/>
      <c r="G209" s="148"/>
      <c r="H209" s="144"/>
    </row>
    <row r="210">
      <c r="B210" s="145"/>
      <c r="C210" s="144"/>
      <c r="G210" s="148"/>
      <c r="H210" s="144"/>
    </row>
    <row r="211">
      <c r="B211" s="145"/>
      <c r="C211" s="144"/>
      <c r="G211" s="148"/>
      <c r="H211" s="144"/>
    </row>
    <row r="212">
      <c r="B212" s="145"/>
      <c r="C212" s="144"/>
      <c r="G212" s="148"/>
      <c r="H212" s="144"/>
    </row>
    <row r="213">
      <c r="B213" s="145"/>
      <c r="C213" s="144"/>
      <c r="G213" s="148"/>
      <c r="H213" s="144"/>
    </row>
    <row r="214">
      <c r="B214" s="145"/>
      <c r="C214" s="144"/>
      <c r="G214" s="148"/>
      <c r="H214" s="144"/>
    </row>
    <row r="215">
      <c r="B215" s="145"/>
      <c r="C215" s="144"/>
      <c r="G215" s="148"/>
      <c r="H215" s="144"/>
    </row>
    <row r="216">
      <c r="B216" s="145"/>
      <c r="C216" s="144"/>
      <c r="G216" s="148"/>
      <c r="H216" s="144"/>
    </row>
    <row r="217">
      <c r="B217" s="145"/>
      <c r="C217" s="144"/>
      <c r="G217" s="148"/>
      <c r="H217" s="144"/>
    </row>
    <row r="218">
      <c r="B218" s="145"/>
      <c r="C218" s="144"/>
      <c r="G218" s="148"/>
      <c r="H218" s="144"/>
    </row>
    <row r="219">
      <c r="B219" s="145"/>
      <c r="C219" s="144"/>
      <c r="G219" s="148"/>
      <c r="H219" s="144"/>
    </row>
    <row r="220">
      <c r="B220" s="145"/>
      <c r="C220" s="144"/>
      <c r="G220" s="148"/>
      <c r="H220" s="144"/>
    </row>
    <row r="221">
      <c r="B221" s="145"/>
      <c r="C221" s="144"/>
      <c r="G221" s="148"/>
      <c r="H221" s="144"/>
    </row>
    <row r="222">
      <c r="B222" s="145"/>
      <c r="C222" s="144"/>
      <c r="G222" s="148"/>
      <c r="H222" s="144"/>
    </row>
    <row r="223">
      <c r="B223" s="145"/>
      <c r="C223" s="144"/>
      <c r="G223" s="148"/>
      <c r="H223" s="144"/>
    </row>
    <row r="224">
      <c r="B224" s="145"/>
      <c r="C224" s="144"/>
      <c r="G224" s="148"/>
      <c r="H224" s="144"/>
    </row>
    <row r="225">
      <c r="B225" s="145"/>
      <c r="C225" s="144"/>
      <c r="G225" s="148"/>
      <c r="H225" s="144"/>
    </row>
    <row r="226">
      <c r="B226" s="145"/>
      <c r="C226" s="144"/>
      <c r="G226" s="148"/>
      <c r="H226" s="144"/>
    </row>
    <row r="227">
      <c r="B227" s="145"/>
      <c r="C227" s="144"/>
      <c r="G227" s="148"/>
      <c r="H227" s="144"/>
    </row>
    <row r="228">
      <c r="B228" s="145"/>
      <c r="C228" s="144"/>
      <c r="G228" s="148"/>
      <c r="H228" s="144"/>
    </row>
    <row r="229">
      <c r="B229" s="145"/>
      <c r="C229" s="144"/>
      <c r="G229" s="148"/>
      <c r="H229" s="144"/>
    </row>
    <row r="230">
      <c r="B230" s="145"/>
      <c r="C230" s="144"/>
      <c r="G230" s="148"/>
      <c r="H230" s="144"/>
    </row>
    <row r="231">
      <c r="B231" s="145"/>
      <c r="C231" s="144"/>
      <c r="G231" s="148"/>
      <c r="H231" s="144"/>
    </row>
    <row r="232">
      <c r="B232" s="145"/>
      <c r="C232" s="144"/>
      <c r="G232" s="148"/>
      <c r="H232" s="144"/>
    </row>
    <row r="233">
      <c r="B233" s="145"/>
      <c r="C233" s="144"/>
      <c r="G233" s="148"/>
      <c r="H233" s="144"/>
    </row>
    <row r="234">
      <c r="B234" s="145"/>
      <c r="C234" s="144"/>
      <c r="G234" s="148"/>
      <c r="H234" s="144"/>
    </row>
    <row r="235">
      <c r="B235" s="145"/>
      <c r="C235" s="144"/>
      <c r="G235" s="148"/>
      <c r="H235" s="144"/>
    </row>
    <row r="236">
      <c r="B236" s="145"/>
      <c r="C236" s="144"/>
      <c r="G236" s="148"/>
      <c r="H236" s="144"/>
    </row>
    <row r="237">
      <c r="B237" s="145"/>
      <c r="C237" s="144"/>
      <c r="G237" s="148"/>
      <c r="H237" s="144"/>
    </row>
    <row r="238">
      <c r="B238" s="145"/>
      <c r="C238" s="144"/>
      <c r="G238" s="148"/>
      <c r="H238" s="144"/>
    </row>
    <row r="239">
      <c r="B239" s="145"/>
      <c r="C239" s="144"/>
      <c r="G239" s="148"/>
      <c r="H239" s="144"/>
    </row>
    <row r="240">
      <c r="B240" s="145"/>
      <c r="C240" s="144"/>
      <c r="G240" s="148"/>
      <c r="H240" s="144"/>
    </row>
    <row r="241">
      <c r="B241" s="145"/>
      <c r="C241" s="144"/>
      <c r="G241" s="148"/>
      <c r="H241" s="144"/>
    </row>
    <row r="242">
      <c r="B242" s="145"/>
      <c r="C242" s="144"/>
      <c r="G242" s="148"/>
      <c r="H242" s="144"/>
    </row>
    <row r="243">
      <c r="B243" s="145"/>
      <c r="C243" s="144"/>
      <c r="G243" s="148"/>
      <c r="H243" s="144"/>
    </row>
    <row r="244">
      <c r="B244" s="145"/>
      <c r="C244" s="144"/>
      <c r="G244" s="148"/>
      <c r="H244" s="144"/>
    </row>
    <row r="245">
      <c r="B245" s="145"/>
      <c r="C245" s="144"/>
      <c r="G245" s="148"/>
      <c r="H245" s="144"/>
    </row>
    <row r="246">
      <c r="B246" s="145"/>
      <c r="C246" s="144"/>
      <c r="G246" s="148"/>
      <c r="H246" s="144"/>
    </row>
    <row r="247">
      <c r="B247" s="145"/>
      <c r="C247" s="144"/>
      <c r="G247" s="148"/>
      <c r="H247" s="144"/>
    </row>
    <row r="248">
      <c r="B248" s="145"/>
      <c r="C248" s="144"/>
      <c r="G248" s="148"/>
      <c r="H248" s="144"/>
    </row>
    <row r="249">
      <c r="B249" s="145"/>
      <c r="C249" s="144"/>
      <c r="G249" s="148"/>
      <c r="H249" s="144"/>
    </row>
    <row r="250">
      <c r="B250" s="145"/>
      <c r="C250" s="144"/>
      <c r="G250" s="148"/>
      <c r="H250" s="144"/>
    </row>
    <row r="251">
      <c r="B251" s="145"/>
      <c r="C251" s="144"/>
      <c r="G251" s="148"/>
      <c r="H251" s="144"/>
    </row>
    <row r="252">
      <c r="B252" s="145"/>
      <c r="C252" s="144"/>
      <c r="G252" s="148"/>
      <c r="H252" s="144"/>
    </row>
    <row r="253">
      <c r="B253" s="145"/>
      <c r="C253" s="144"/>
      <c r="G253" s="148"/>
      <c r="H253" s="144"/>
    </row>
    <row r="254">
      <c r="B254" s="145"/>
      <c r="C254" s="144"/>
      <c r="G254" s="148"/>
      <c r="H254" s="144"/>
    </row>
    <row r="255">
      <c r="B255" s="145"/>
      <c r="C255" s="144"/>
      <c r="G255" s="148"/>
      <c r="H255" s="144"/>
    </row>
    <row r="256">
      <c r="B256" s="145"/>
      <c r="C256" s="144"/>
      <c r="G256" s="148"/>
      <c r="H256" s="144"/>
    </row>
    <row r="257">
      <c r="B257" s="145"/>
      <c r="C257" s="144"/>
      <c r="G257" s="148"/>
      <c r="H257" s="144"/>
    </row>
    <row r="258">
      <c r="B258" s="145"/>
      <c r="C258" s="144"/>
      <c r="G258" s="148"/>
      <c r="H258" s="144"/>
    </row>
    <row r="259">
      <c r="B259" s="145"/>
      <c r="C259" s="144"/>
      <c r="G259" s="148"/>
      <c r="H259" s="144"/>
    </row>
    <row r="260">
      <c r="B260" s="145"/>
      <c r="C260" s="144"/>
      <c r="G260" s="148"/>
      <c r="H260" s="144"/>
    </row>
    <row r="261">
      <c r="B261" s="145"/>
      <c r="C261" s="144"/>
      <c r="G261" s="148"/>
      <c r="H261" s="144"/>
    </row>
    <row r="262">
      <c r="B262" s="145"/>
      <c r="C262" s="144"/>
      <c r="G262" s="148"/>
      <c r="H262" s="144"/>
    </row>
    <row r="263">
      <c r="B263" s="145"/>
      <c r="C263" s="144"/>
      <c r="G263" s="148"/>
      <c r="H263" s="144"/>
    </row>
    <row r="264">
      <c r="B264" s="145"/>
      <c r="C264" s="144"/>
      <c r="G264" s="148"/>
      <c r="H264" s="144"/>
    </row>
    <row r="265">
      <c r="B265" s="145"/>
      <c r="C265" s="144"/>
      <c r="G265" s="148"/>
      <c r="H265" s="144"/>
    </row>
    <row r="266">
      <c r="B266" s="145"/>
      <c r="C266" s="144"/>
      <c r="G266" s="148"/>
      <c r="H266" s="144"/>
    </row>
    <row r="267">
      <c r="B267" s="145"/>
      <c r="C267" s="144"/>
      <c r="G267" s="148"/>
      <c r="H267" s="144"/>
    </row>
    <row r="268">
      <c r="B268" s="145"/>
      <c r="C268" s="144"/>
      <c r="G268" s="148"/>
      <c r="H268" s="144"/>
    </row>
    <row r="269">
      <c r="B269" s="145"/>
      <c r="C269" s="144"/>
      <c r="G269" s="148"/>
      <c r="H269" s="144"/>
    </row>
    <row r="270">
      <c r="B270" s="145"/>
      <c r="C270" s="144"/>
      <c r="G270" s="148"/>
      <c r="H270" s="144"/>
    </row>
    <row r="271">
      <c r="B271" s="145"/>
      <c r="C271" s="144"/>
      <c r="G271" s="148"/>
      <c r="H271" s="144"/>
    </row>
    <row r="272">
      <c r="B272" s="145"/>
      <c r="C272" s="144"/>
      <c r="G272" s="148"/>
      <c r="H272" s="144"/>
    </row>
    <row r="273">
      <c r="B273" s="145"/>
      <c r="C273" s="144"/>
      <c r="G273" s="148"/>
      <c r="H273" s="144"/>
    </row>
    <row r="274">
      <c r="B274" s="145"/>
      <c r="C274" s="144"/>
      <c r="G274" s="148"/>
      <c r="H274" s="144"/>
    </row>
    <row r="275">
      <c r="B275" s="145"/>
      <c r="C275" s="144"/>
      <c r="G275" s="148"/>
      <c r="H275" s="144"/>
    </row>
    <row r="276">
      <c r="B276" s="145"/>
      <c r="C276" s="144"/>
      <c r="G276" s="148"/>
      <c r="H276" s="144"/>
    </row>
    <row r="277">
      <c r="B277" s="145"/>
      <c r="C277" s="144"/>
      <c r="G277" s="148"/>
      <c r="H277" s="144"/>
    </row>
    <row r="278">
      <c r="B278" s="145"/>
      <c r="C278" s="144"/>
      <c r="G278" s="148"/>
      <c r="H278" s="144"/>
    </row>
    <row r="279">
      <c r="B279" s="145"/>
      <c r="C279" s="144"/>
      <c r="G279" s="148"/>
      <c r="H279" s="144"/>
    </row>
    <row r="280">
      <c r="B280" s="145"/>
      <c r="C280" s="144"/>
      <c r="G280" s="148"/>
      <c r="H280" s="144"/>
    </row>
    <row r="281">
      <c r="B281" s="145"/>
      <c r="C281" s="144"/>
      <c r="G281" s="148"/>
      <c r="H281" s="144"/>
    </row>
    <row r="282">
      <c r="B282" s="145"/>
      <c r="C282" s="144"/>
      <c r="G282" s="148"/>
      <c r="H282" s="144"/>
    </row>
    <row r="283">
      <c r="B283" s="145"/>
      <c r="C283" s="144"/>
      <c r="G283" s="148"/>
      <c r="H283" s="144"/>
    </row>
    <row r="284">
      <c r="B284" s="145"/>
      <c r="C284" s="144"/>
      <c r="G284" s="148"/>
      <c r="H284" s="144"/>
    </row>
    <row r="285">
      <c r="B285" s="145"/>
      <c r="C285" s="144"/>
      <c r="G285" s="148"/>
      <c r="H285" s="144"/>
    </row>
    <row r="286">
      <c r="B286" s="145"/>
      <c r="C286" s="144"/>
      <c r="G286" s="148"/>
      <c r="H286" s="144"/>
    </row>
    <row r="287">
      <c r="B287" s="145"/>
      <c r="C287" s="144"/>
      <c r="G287" s="148"/>
      <c r="H287" s="144"/>
    </row>
    <row r="288">
      <c r="B288" s="145"/>
      <c r="C288" s="144"/>
      <c r="G288" s="148"/>
      <c r="H288" s="144"/>
    </row>
    <row r="289">
      <c r="B289" s="145"/>
      <c r="C289" s="144"/>
      <c r="G289" s="148"/>
      <c r="H289" s="144"/>
    </row>
    <row r="290">
      <c r="B290" s="145"/>
      <c r="C290" s="144"/>
      <c r="G290" s="148"/>
      <c r="H290" s="144"/>
    </row>
    <row r="291">
      <c r="B291" s="145"/>
      <c r="C291" s="144"/>
      <c r="G291" s="148"/>
      <c r="H291" s="144"/>
    </row>
    <row r="292">
      <c r="B292" s="145"/>
      <c r="C292" s="144"/>
      <c r="G292" s="148"/>
      <c r="H292" s="144"/>
    </row>
    <row r="293">
      <c r="B293" s="145"/>
      <c r="C293" s="144"/>
      <c r="G293" s="148"/>
      <c r="H293" s="144"/>
    </row>
    <row r="294">
      <c r="B294" s="145"/>
      <c r="C294" s="144"/>
      <c r="G294" s="148"/>
      <c r="H294" s="144"/>
    </row>
    <row r="295">
      <c r="B295" s="145"/>
      <c r="C295" s="144"/>
      <c r="G295" s="148"/>
      <c r="H295" s="144"/>
    </row>
    <row r="296">
      <c r="B296" s="145"/>
      <c r="C296" s="144"/>
      <c r="G296" s="148"/>
      <c r="H296" s="144"/>
    </row>
    <row r="297">
      <c r="B297" s="145"/>
      <c r="C297" s="144"/>
      <c r="G297" s="148"/>
      <c r="H297" s="144"/>
    </row>
    <row r="298">
      <c r="B298" s="145"/>
      <c r="C298" s="144"/>
      <c r="G298" s="148"/>
      <c r="H298" s="144"/>
    </row>
    <row r="299">
      <c r="B299" s="145"/>
      <c r="C299" s="144"/>
      <c r="G299" s="148"/>
      <c r="H299" s="144"/>
    </row>
    <row r="300">
      <c r="B300" s="145"/>
      <c r="C300" s="144"/>
      <c r="G300" s="148"/>
      <c r="H300" s="144"/>
    </row>
    <row r="301">
      <c r="B301" s="145"/>
      <c r="C301" s="144"/>
      <c r="G301" s="148"/>
      <c r="H301" s="144"/>
    </row>
    <row r="302">
      <c r="B302" s="145"/>
      <c r="C302" s="144"/>
      <c r="G302" s="148"/>
      <c r="H302" s="144"/>
    </row>
    <row r="303">
      <c r="B303" s="145"/>
      <c r="C303" s="144"/>
      <c r="G303" s="148"/>
      <c r="H303" s="144"/>
    </row>
    <row r="304">
      <c r="B304" s="145"/>
      <c r="C304" s="144"/>
      <c r="G304" s="148"/>
      <c r="H304" s="144"/>
    </row>
    <row r="305">
      <c r="B305" s="145"/>
      <c r="C305" s="144"/>
      <c r="G305" s="148"/>
      <c r="H305" s="144"/>
    </row>
    <row r="306">
      <c r="B306" s="145"/>
      <c r="C306" s="144"/>
      <c r="G306" s="148"/>
      <c r="H306" s="144"/>
    </row>
    <row r="307">
      <c r="B307" s="145"/>
      <c r="C307" s="144"/>
      <c r="G307" s="148"/>
      <c r="H307" s="144"/>
    </row>
    <row r="308">
      <c r="B308" s="145"/>
      <c r="C308" s="144"/>
      <c r="G308" s="148"/>
      <c r="H308" s="144"/>
    </row>
    <row r="309">
      <c r="B309" s="145"/>
      <c r="C309" s="144"/>
      <c r="G309" s="148"/>
      <c r="H309" s="144"/>
    </row>
    <row r="310">
      <c r="B310" s="145"/>
      <c r="C310" s="144"/>
      <c r="G310" s="148"/>
      <c r="H310" s="144"/>
    </row>
    <row r="311">
      <c r="B311" s="145"/>
      <c r="C311" s="144"/>
      <c r="G311" s="148"/>
      <c r="H311" s="144"/>
    </row>
    <row r="312">
      <c r="B312" s="145"/>
      <c r="C312" s="144"/>
      <c r="G312" s="148"/>
      <c r="H312" s="144"/>
    </row>
    <row r="313">
      <c r="B313" s="145"/>
      <c r="C313" s="144"/>
      <c r="G313" s="148"/>
      <c r="H313" s="144"/>
    </row>
    <row r="314">
      <c r="B314" s="145"/>
      <c r="C314" s="144"/>
      <c r="G314" s="148"/>
      <c r="H314" s="144"/>
    </row>
    <row r="315">
      <c r="B315" s="145"/>
      <c r="C315" s="144"/>
      <c r="G315" s="148"/>
      <c r="H315" s="144"/>
    </row>
    <row r="316">
      <c r="B316" s="145"/>
      <c r="C316" s="144"/>
      <c r="G316" s="148"/>
      <c r="H316" s="144"/>
    </row>
    <row r="317">
      <c r="B317" s="145"/>
      <c r="C317" s="144"/>
      <c r="G317" s="148"/>
      <c r="H317" s="144"/>
    </row>
    <row r="318">
      <c r="B318" s="145"/>
      <c r="C318" s="144"/>
      <c r="G318" s="148"/>
      <c r="H318" s="144"/>
    </row>
    <row r="319">
      <c r="B319" s="145"/>
      <c r="C319" s="144"/>
      <c r="G319" s="148"/>
      <c r="H319" s="144"/>
    </row>
    <row r="320">
      <c r="B320" s="145"/>
      <c r="C320" s="144"/>
      <c r="G320" s="148"/>
      <c r="H320" s="144"/>
    </row>
    <row r="321">
      <c r="B321" s="145"/>
      <c r="C321" s="144"/>
      <c r="G321" s="148"/>
      <c r="H321" s="144"/>
    </row>
    <row r="322">
      <c r="B322" s="145"/>
      <c r="C322" s="144"/>
      <c r="G322" s="148"/>
      <c r="H322" s="144"/>
    </row>
    <row r="323">
      <c r="B323" s="145"/>
      <c r="C323" s="144"/>
      <c r="G323" s="148"/>
      <c r="H323" s="144"/>
    </row>
    <row r="324">
      <c r="B324" s="145"/>
      <c r="C324" s="144"/>
      <c r="G324" s="148"/>
      <c r="H324" s="144"/>
    </row>
    <row r="325">
      <c r="B325" s="145"/>
      <c r="C325" s="144"/>
      <c r="G325" s="148"/>
      <c r="H325" s="144"/>
    </row>
    <row r="326">
      <c r="B326" s="145"/>
      <c r="C326" s="144"/>
      <c r="G326" s="148"/>
      <c r="H326" s="144"/>
    </row>
    <row r="327">
      <c r="B327" s="145"/>
      <c r="C327" s="144"/>
      <c r="G327" s="148"/>
      <c r="H327" s="144"/>
    </row>
    <row r="328">
      <c r="B328" s="145"/>
      <c r="C328" s="144"/>
      <c r="G328" s="148"/>
      <c r="H328" s="144"/>
    </row>
    <row r="329">
      <c r="B329" s="145"/>
      <c r="C329" s="144"/>
      <c r="G329" s="148"/>
      <c r="H329" s="144"/>
    </row>
    <row r="330">
      <c r="B330" s="145"/>
      <c r="C330" s="144"/>
      <c r="G330" s="148"/>
      <c r="H330" s="144"/>
    </row>
    <row r="331">
      <c r="B331" s="145"/>
      <c r="C331" s="144"/>
      <c r="G331" s="148"/>
      <c r="H331" s="144"/>
    </row>
    <row r="332">
      <c r="B332" s="145"/>
      <c r="C332" s="144"/>
      <c r="G332" s="148"/>
      <c r="H332" s="144"/>
    </row>
    <row r="333">
      <c r="B333" s="145"/>
      <c r="C333" s="144"/>
      <c r="G333" s="148"/>
      <c r="H333" s="144"/>
    </row>
    <row r="334">
      <c r="B334" s="145"/>
      <c r="C334" s="144"/>
      <c r="G334" s="148"/>
      <c r="H334" s="144"/>
    </row>
    <row r="335">
      <c r="B335" s="145"/>
      <c r="C335" s="144"/>
      <c r="G335" s="148"/>
      <c r="H335" s="144"/>
    </row>
    <row r="336">
      <c r="B336" s="145"/>
      <c r="C336" s="144"/>
      <c r="G336" s="148"/>
      <c r="H336" s="144"/>
    </row>
    <row r="337">
      <c r="B337" s="145"/>
      <c r="C337" s="144"/>
      <c r="G337" s="148"/>
      <c r="H337" s="144"/>
    </row>
    <row r="338">
      <c r="B338" s="145"/>
      <c r="C338" s="144"/>
      <c r="G338" s="148"/>
      <c r="H338" s="144"/>
    </row>
    <row r="339">
      <c r="B339" s="145"/>
      <c r="C339" s="144"/>
      <c r="G339" s="148"/>
      <c r="H339" s="144"/>
    </row>
    <row r="340">
      <c r="B340" s="145"/>
      <c r="C340" s="144"/>
      <c r="G340" s="148"/>
      <c r="H340" s="144"/>
    </row>
    <row r="341">
      <c r="B341" s="145"/>
      <c r="C341" s="144"/>
      <c r="G341" s="148"/>
      <c r="H341" s="144"/>
    </row>
    <row r="342">
      <c r="B342" s="145"/>
      <c r="C342" s="144"/>
      <c r="G342" s="148"/>
      <c r="H342" s="144"/>
    </row>
    <row r="343">
      <c r="B343" s="145"/>
      <c r="C343" s="144"/>
      <c r="G343" s="148"/>
      <c r="H343" s="144"/>
    </row>
    <row r="344">
      <c r="B344" s="145"/>
      <c r="C344" s="144"/>
      <c r="G344" s="148"/>
      <c r="H344" s="144"/>
    </row>
    <row r="345">
      <c r="B345" s="145"/>
      <c r="C345" s="144"/>
      <c r="G345" s="148"/>
      <c r="H345" s="144"/>
    </row>
    <row r="346">
      <c r="B346" s="145"/>
      <c r="C346" s="144"/>
      <c r="G346" s="148"/>
      <c r="H346" s="144"/>
    </row>
    <row r="347">
      <c r="B347" s="145"/>
      <c r="C347" s="144"/>
      <c r="G347" s="148"/>
      <c r="H347" s="144"/>
    </row>
    <row r="348">
      <c r="B348" s="145"/>
      <c r="C348" s="144"/>
      <c r="G348" s="148"/>
      <c r="H348" s="144"/>
    </row>
    <row r="349">
      <c r="B349" s="145"/>
      <c r="C349" s="144"/>
      <c r="G349" s="148"/>
      <c r="H349" s="144"/>
    </row>
    <row r="350">
      <c r="B350" s="145"/>
      <c r="C350" s="144"/>
      <c r="G350" s="148"/>
      <c r="H350" s="144"/>
    </row>
    <row r="351">
      <c r="B351" s="145"/>
      <c r="C351" s="144"/>
      <c r="G351" s="148"/>
      <c r="H351" s="144"/>
    </row>
    <row r="352">
      <c r="B352" s="145"/>
      <c r="C352" s="144"/>
      <c r="G352" s="148"/>
      <c r="H352" s="144"/>
    </row>
    <row r="353">
      <c r="B353" s="145"/>
      <c r="C353" s="144"/>
      <c r="G353" s="148"/>
      <c r="H353" s="144"/>
    </row>
    <row r="354">
      <c r="B354" s="145"/>
      <c r="C354" s="144"/>
      <c r="G354" s="148"/>
      <c r="H354" s="144"/>
    </row>
    <row r="355">
      <c r="B355" s="145"/>
      <c r="C355" s="144"/>
      <c r="G355" s="148"/>
      <c r="H355" s="144"/>
    </row>
    <row r="356">
      <c r="B356" s="145"/>
      <c r="C356" s="144"/>
      <c r="G356" s="148"/>
      <c r="H356" s="144"/>
    </row>
    <row r="357">
      <c r="B357" s="145"/>
      <c r="C357" s="144"/>
      <c r="G357" s="148"/>
      <c r="H357" s="144"/>
    </row>
    <row r="358">
      <c r="B358" s="145"/>
      <c r="C358" s="144"/>
      <c r="G358" s="148"/>
      <c r="H358" s="144"/>
    </row>
    <row r="359">
      <c r="B359" s="145"/>
      <c r="C359" s="144"/>
      <c r="G359" s="148"/>
      <c r="H359" s="144"/>
    </row>
    <row r="360">
      <c r="B360" s="145"/>
      <c r="C360" s="144"/>
      <c r="G360" s="148"/>
      <c r="H360" s="144"/>
    </row>
    <row r="361">
      <c r="B361" s="145"/>
      <c r="C361" s="144"/>
      <c r="G361" s="148"/>
      <c r="H361" s="144"/>
    </row>
    <row r="362">
      <c r="B362" s="145"/>
      <c r="C362" s="144"/>
      <c r="G362" s="148"/>
      <c r="H362" s="144"/>
    </row>
    <row r="363">
      <c r="B363" s="145"/>
      <c r="C363" s="144"/>
      <c r="G363" s="148"/>
      <c r="H363" s="144"/>
    </row>
    <row r="364">
      <c r="B364" s="145"/>
      <c r="C364" s="144"/>
      <c r="G364" s="148"/>
      <c r="H364" s="144"/>
    </row>
    <row r="365">
      <c r="B365" s="145"/>
      <c r="C365" s="144"/>
      <c r="G365" s="148"/>
      <c r="H365" s="144"/>
    </row>
    <row r="366">
      <c r="B366" s="145"/>
      <c r="C366" s="144"/>
      <c r="G366" s="148"/>
      <c r="H366" s="144"/>
    </row>
    <row r="367">
      <c r="B367" s="145"/>
      <c r="C367" s="144"/>
      <c r="G367" s="148"/>
      <c r="H367" s="144"/>
    </row>
    <row r="368">
      <c r="B368" s="145"/>
      <c r="C368" s="144"/>
      <c r="G368" s="148"/>
      <c r="H368" s="144"/>
    </row>
    <row r="369">
      <c r="B369" s="145"/>
      <c r="C369" s="144"/>
      <c r="G369" s="148"/>
      <c r="H369" s="144"/>
    </row>
    <row r="370">
      <c r="B370" s="145"/>
      <c r="C370" s="144"/>
      <c r="G370" s="148"/>
      <c r="H370" s="144"/>
    </row>
    <row r="371">
      <c r="B371" s="145"/>
      <c r="C371" s="144"/>
      <c r="G371" s="148"/>
      <c r="H371" s="144"/>
    </row>
    <row r="372">
      <c r="B372" s="145"/>
      <c r="C372" s="144"/>
      <c r="G372" s="148"/>
      <c r="H372" s="144"/>
    </row>
    <row r="373">
      <c r="B373" s="145"/>
      <c r="C373" s="144"/>
      <c r="G373" s="148"/>
      <c r="H373" s="144"/>
    </row>
    <row r="374">
      <c r="B374" s="145"/>
      <c r="C374" s="144"/>
      <c r="G374" s="148"/>
      <c r="H374" s="144"/>
    </row>
    <row r="375">
      <c r="B375" s="145"/>
      <c r="C375" s="144"/>
      <c r="G375" s="148"/>
      <c r="H375" s="144"/>
    </row>
    <row r="376">
      <c r="B376" s="145"/>
      <c r="C376" s="144"/>
      <c r="G376" s="148"/>
      <c r="H376" s="144"/>
    </row>
    <row r="377">
      <c r="B377" s="145"/>
      <c r="C377" s="144"/>
      <c r="G377" s="148"/>
      <c r="H377" s="144"/>
    </row>
    <row r="378">
      <c r="B378" s="145"/>
      <c r="C378" s="144"/>
      <c r="G378" s="148"/>
      <c r="H378" s="144"/>
    </row>
    <row r="379">
      <c r="B379" s="145"/>
      <c r="C379" s="144"/>
      <c r="G379" s="148"/>
      <c r="H379" s="144"/>
    </row>
    <row r="380">
      <c r="B380" s="145"/>
      <c r="C380" s="144"/>
      <c r="G380" s="148"/>
      <c r="H380" s="144"/>
    </row>
    <row r="381">
      <c r="B381" s="145"/>
      <c r="C381" s="144"/>
      <c r="G381" s="148"/>
      <c r="H381" s="144"/>
    </row>
    <row r="382">
      <c r="B382" s="145"/>
      <c r="C382" s="144"/>
      <c r="G382" s="148"/>
      <c r="H382" s="144"/>
    </row>
    <row r="383">
      <c r="B383" s="145"/>
      <c r="C383" s="144"/>
      <c r="G383" s="148"/>
      <c r="H383" s="144"/>
    </row>
    <row r="384">
      <c r="B384" s="145"/>
      <c r="C384" s="144"/>
      <c r="G384" s="148"/>
      <c r="H384" s="144"/>
    </row>
    <row r="385">
      <c r="B385" s="145"/>
      <c r="C385" s="144"/>
      <c r="G385" s="148"/>
      <c r="H385" s="144"/>
    </row>
    <row r="386">
      <c r="B386" s="145"/>
      <c r="C386" s="144"/>
      <c r="G386" s="148"/>
      <c r="H386" s="144"/>
    </row>
    <row r="387">
      <c r="B387" s="145"/>
      <c r="C387" s="144"/>
      <c r="G387" s="148"/>
      <c r="H387" s="144"/>
    </row>
    <row r="388">
      <c r="B388" s="145"/>
      <c r="C388" s="144"/>
      <c r="G388" s="148"/>
      <c r="H388" s="144"/>
    </row>
    <row r="389">
      <c r="B389" s="145"/>
      <c r="C389" s="144"/>
      <c r="G389" s="148"/>
      <c r="H389" s="144"/>
    </row>
    <row r="390">
      <c r="B390" s="145"/>
      <c r="C390" s="144"/>
      <c r="G390" s="148"/>
      <c r="H390" s="144"/>
    </row>
    <row r="391">
      <c r="B391" s="145"/>
      <c r="C391" s="144"/>
      <c r="G391" s="148"/>
      <c r="H391" s="144"/>
    </row>
    <row r="392">
      <c r="B392" s="145"/>
      <c r="C392" s="144"/>
      <c r="G392" s="148"/>
      <c r="H392" s="144"/>
    </row>
    <row r="393">
      <c r="B393" s="145"/>
      <c r="C393" s="144"/>
      <c r="G393" s="148"/>
      <c r="H393" s="144"/>
    </row>
    <row r="394">
      <c r="B394" s="145"/>
      <c r="C394" s="144"/>
      <c r="G394" s="148"/>
      <c r="H394" s="144"/>
    </row>
    <row r="395">
      <c r="B395" s="145"/>
      <c r="C395" s="144"/>
      <c r="G395" s="148"/>
      <c r="H395" s="144"/>
    </row>
    <row r="396">
      <c r="B396" s="145"/>
      <c r="C396" s="144"/>
      <c r="G396" s="148"/>
      <c r="H396" s="144"/>
    </row>
    <row r="397">
      <c r="B397" s="145"/>
      <c r="C397" s="144"/>
      <c r="G397" s="148"/>
      <c r="H397" s="144"/>
    </row>
    <row r="398">
      <c r="B398" s="145"/>
      <c r="C398" s="144"/>
      <c r="G398" s="148"/>
      <c r="H398" s="144"/>
    </row>
    <row r="399">
      <c r="B399" s="145"/>
      <c r="C399" s="144"/>
      <c r="G399" s="148"/>
      <c r="H399" s="144"/>
    </row>
    <row r="400">
      <c r="B400" s="145"/>
      <c r="C400" s="144"/>
      <c r="G400" s="148"/>
      <c r="H400" s="144"/>
    </row>
    <row r="401">
      <c r="B401" s="145"/>
      <c r="C401" s="144"/>
      <c r="G401" s="148"/>
      <c r="H401" s="144"/>
    </row>
    <row r="402">
      <c r="B402" s="145"/>
      <c r="C402" s="144"/>
      <c r="G402" s="148"/>
      <c r="H402" s="144"/>
    </row>
    <row r="403">
      <c r="B403" s="145"/>
      <c r="C403" s="144"/>
      <c r="G403" s="148"/>
      <c r="H403" s="144"/>
    </row>
    <row r="404">
      <c r="B404" s="145"/>
      <c r="C404" s="144"/>
      <c r="G404" s="148"/>
      <c r="H404" s="144"/>
    </row>
    <row r="405">
      <c r="B405" s="145"/>
      <c r="C405" s="144"/>
      <c r="G405" s="148"/>
      <c r="H405" s="144"/>
    </row>
    <row r="406">
      <c r="B406" s="145"/>
      <c r="C406" s="144"/>
      <c r="G406" s="148"/>
      <c r="H406" s="144"/>
    </row>
    <row r="407">
      <c r="B407" s="145"/>
      <c r="C407" s="144"/>
      <c r="G407" s="148"/>
      <c r="H407" s="144"/>
    </row>
    <row r="408">
      <c r="B408" s="145"/>
      <c r="C408" s="144"/>
      <c r="G408" s="148"/>
      <c r="H408" s="144"/>
    </row>
    <row r="409">
      <c r="B409" s="145"/>
      <c r="C409" s="144"/>
      <c r="G409" s="148"/>
      <c r="H409" s="144"/>
    </row>
    <row r="410">
      <c r="B410" s="145"/>
      <c r="C410" s="144"/>
      <c r="G410" s="148"/>
      <c r="H410" s="144"/>
    </row>
    <row r="411">
      <c r="B411" s="145"/>
      <c r="C411" s="144"/>
      <c r="G411" s="148"/>
      <c r="H411" s="144"/>
    </row>
    <row r="412">
      <c r="B412" s="145"/>
      <c r="C412" s="144"/>
      <c r="G412" s="148"/>
      <c r="H412" s="144"/>
    </row>
    <row r="413">
      <c r="B413" s="145"/>
      <c r="C413" s="144"/>
      <c r="G413" s="148"/>
      <c r="H413" s="144"/>
    </row>
    <row r="414">
      <c r="B414" s="145"/>
      <c r="C414" s="144"/>
      <c r="G414" s="148"/>
      <c r="H414" s="144"/>
    </row>
    <row r="415">
      <c r="B415" s="145"/>
      <c r="C415" s="144"/>
      <c r="G415" s="148"/>
      <c r="H415" s="144"/>
    </row>
    <row r="416">
      <c r="B416" s="145"/>
      <c r="C416" s="144"/>
      <c r="G416" s="148"/>
      <c r="H416" s="144"/>
    </row>
    <row r="417">
      <c r="B417" s="145"/>
      <c r="C417" s="144"/>
      <c r="G417" s="148"/>
      <c r="H417" s="144"/>
    </row>
    <row r="418">
      <c r="B418" s="145"/>
      <c r="C418" s="144"/>
      <c r="G418" s="148"/>
      <c r="H418" s="144"/>
    </row>
    <row r="419">
      <c r="B419" s="145"/>
      <c r="C419" s="144"/>
      <c r="G419" s="148"/>
      <c r="H419" s="144"/>
    </row>
    <row r="420">
      <c r="B420" s="145"/>
      <c r="C420" s="144"/>
      <c r="G420" s="148"/>
      <c r="H420" s="144"/>
    </row>
    <row r="421">
      <c r="B421" s="145"/>
      <c r="C421" s="144"/>
      <c r="G421" s="148"/>
      <c r="H421" s="144"/>
    </row>
    <row r="422">
      <c r="B422" s="145"/>
      <c r="C422" s="144"/>
      <c r="G422" s="148"/>
      <c r="H422" s="144"/>
    </row>
    <row r="423">
      <c r="B423" s="145"/>
      <c r="C423" s="144"/>
      <c r="G423" s="148"/>
      <c r="H423" s="144"/>
    </row>
    <row r="424">
      <c r="B424" s="145"/>
      <c r="C424" s="144"/>
      <c r="G424" s="148"/>
      <c r="H424" s="144"/>
    </row>
    <row r="425">
      <c r="B425" s="145"/>
      <c r="C425" s="144"/>
      <c r="G425" s="148"/>
      <c r="H425" s="144"/>
    </row>
    <row r="426">
      <c r="B426" s="145"/>
      <c r="C426" s="144"/>
      <c r="G426" s="148"/>
      <c r="H426" s="144"/>
    </row>
    <row r="427">
      <c r="B427" s="145"/>
      <c r="C427" s="144"/>
      <c r="G427" s="148"/>
      <c r="H427" s="144"/>
    </row>
    <row r="428">
      <c r="B428" s="145"/>
      <c r="C428" s="144"/>
      <c r="G428" s="148"/>
      <c r="H428" s="144"/>
    </row>
    <row r="429">
      <c r="B429" s="145"/>
      <c r="C429" s="144"/>
      <c r="G429" s="148"/>
      <c r="H429" s="144"/>
    </row>
    <row r="430">
      <c r="B430" s="145"/>
      <c r="C430" s="144"/>
      <c r="G430" s="148"/>
      <c r="H430" s="144"/>
    </row>
    <row r="431">
      <c r="B431" s="145"/>
      <c r="C431" s="144"/>
      <c r="G431" s="148"/>
      <c r="H431" s="144"/>
    </row>
    <row r="432">
      <c r="B432" s="145"/>
      <c r="C432" s="144"/>
      <c r="G432" s="148"/>
      <c r="H432" s="144"/>
    </row>
    <row r="433">
      <c r="B433" s="145"/>
      <c r="C433" s="144"/>
      <c r="G433" s="148"/>
      <c r="H433" s="144"/>
    </row>
    <row r="434">
      <c r="B434" s="145"/>
      <c r="C434" s="144"/>
      <c r="G434" s="148"/>
      <c r="H434" s="144"/>
    </row>
    <row r="435">
      <c r="B435" s="145"/>
      <c r="C435" s="144"/>
      <c r="G435" s="148"/>
      <c r="H435" s="144"/>
    </row>
    <row r="436">
      <c r="B436" s="145"/>
      <c r="C436" s="144"/>
      <c r="G436" s="148"/>
      <c r="H436" s="144"/>
    </row>
    <row r="437">
      <c r="B437" s="145"/>
      <c r="C437" s="144"/>
      <c r="G437" s="148"/>
      <c r="H437" s="144"/>
    </row>
    <row r="438">
      <c r="B438" s="145"/>
      <c r="C438" s="144"/>
      <c r="G438" s="148"/>
      <c r="H438" s="144"/>
    </row>
    <row r="439">
      <c r="B439" s="145"/>
      <c r="C439" s="144"/>
      <c r="G439" s="148"/>
      <c r="H439" s="144"/>
    </row>
    <row r="440">
      <c r="B440" s="145"/>
      <c r="C440" s="144"/>
      <c r="G440" s="148"/>
      <c r="H440" s="144"/>
    </row>
    <row r="441">
      <c r="B441" s="145"/>
      <c r="C441" s="144"/>
      <c r="G441" s="148"/>
      <c r="H441" s="144"/>
    </row>
    <row r="442">
      <c r="B442" s="145"/>
      <c r="C442" s="144"/>
      <c r="G442" s="148"/>
      <c r="H442" s="144"/>
    </row>
    <row r="443">
      <c r="B443" s="145"/>
      <c r="C443" s="144"/>
      <c r="G443" s="148"/>
      <c r="H443" s="144"/>
    </row>
    <row r="444">
      <c r="B444" s="145"/>
      <c r="C444" s="144"/>
      <c r="G444" s="148"/>
      <c r="H444" s="144"/>
    </row>
    <row r="445">
      <c r="B445" s="145"/>
      <c r="C445" s="144"/>
      <c r="G445" s="148"/>
      <c r="H445" s="144"/>
    </row>
    <row r="446">
      <c r="B446" s="145"/>
      <c r="C446" s="144"/>
      <c r="G446" s="148"/>
      <c r="H446" s="144"/>
    </row>
    <row r="447">
      <c r="B447" s="145"/>
      <c r="C447" s="144"/>
      <c r="G447" s="148"/>
      <c r="H447" s="144"/>
    </row>
    <row r="448">
      <c r="B448" s="145"/>
      <c r="C448" s="144"/>
      <c r="G448" s="148"/>
      <c r="H448" s="144"/>
    </row>
    <row r="449">
      <c r="B449" s="145"/>
      <c r="C449" s="144"/>
      <c r="G449" s="148"/>
      <c r="H449" s="144"/>
    </row>
    <row r="450">
      <c r="B450" s="145"/>
      <c r="C450" s="144"/>
      <c r="G450" s="148"/>
      <c r="H450" s="144"/>
    </row>
    <row r="451">
      <c r="B451" s="145"/>
      <c r="C451" s="144"/>
      <c r="G451" s="148"/>
      <c r="H451" s="144"/>
    </row>
    <row r="452">
      <c r="B452" s="145"/>
      <c r="C452" s="144"/>
      <c r="G452" s="148"/>
      <c r="H452" s="144"/>
    </row>
    <row r="453">
      <c r="B453" s="145"/>
      <c r="C453" s="144"/>
      <c r="G453" s="148"/>
      <c r="H453" s="144"/>
    </row>
    <row r="454">
      <c r="B454" s="145"/>
      <c r="C454" s="144"/>
      <c r="G454" s="148"/>
      <c r="H454" s="144"/>
    </row>
    <row r="455">
      <c r="B455" s="145"/>
      <c r="C455" s="144"/>
      <c r="G455" s="148"/>
      <c r="H455" s="144"/>
    </row>
    <row r="456">
      <c r="B456" s="145"/>
      <c r="C456" s="144"/>
      <c r="G456" s="148"/>
      <c r="H456" s="144"/>
    </row>
    <row r="457">
      <c r="B457" s="145"/>
      <c r="C457" s="144"/>
      <c r="G457" s="148"/>
      <c r="H457" s="144"/>
    </row>
    <row r="458">
      <c r="B458" s="145"/>
      <c r="C458" s="144"/>
      <c r="G458" s="148"/>
      <c r="H458" s="144"/>
    </row>
    <row r="459">
      <c r="B459" s="145"/>
      <c r="C459" s="144"/>
      <c r="G459" s="148"/>
      <c r="H459" s="144"/>
    </row>
    <row r="460">
      <c r="B460" s="145"/>
      <c r="C460" s="144"/>
      <c r="G460" s="148"/>
      <c r="H460" s="144"/>
    </row>
    <row r="461">
      <c r="B461" s="145"/>
      <c r="C461" s="144"/>
      <c r="G461" s="148"/>
      <c r="H461" s="144"/>
    </row>
    <row r="462">
      <c r="B462" s="145"/>
      <c r="C462" s="144"/>
      <c r="G462" s="148"/>
      <c r="H462" s="144"/>
    </row>
    <row r="463">
      <c r="B463" s="145"/>
      <c r="C463" s="144"/>
      <c r="G463" s="148"/>
      <c r="H463" s="144"/>
    </row>
    <row r="464">
      <c r="B464" s="145"/>
      <c r="C464" s="144"/>
      <c r="G464" s="148"/>
      <c r="H464" s="144"/>
    </row>
    <row r="465">
      <c r="B465" s="145"/>
      <c r="C465" s="144"/>
      <c r="G465" s="148"/>
      <c r="H465" s="144"/>
    </row>
    <row r="466">
      <c r="B466" s="145"/>
      <c r="C466" s="144"/>
      <c r="G466" s="148"/>
      <c r="H466" s="144"/>
    </row>
    <row r="467">
      <c r="B467" s="145"/>
      <c r="C467" s="144"/>
      <c r="G467" s="148"/>
      <c r="H467" s="144"/>
    </row>
    <row r="468">
      <c r="B468" s="145"/>
      <c r="C468" s="144"/>
      <c r="G468" s="148"/>
      <c r="H468" s="144"/>
    </row>
    <row r="469">
      <c r="B469" s="145"/>
      <c r="C469" s="144"/>
      <c r="G469" s="148"/>
      <c r="H469" s="144"/>
    </row>
    <row r="470">
      <c r="B470" s="145"/>
      <c r="C470" s="144"/>
      <c r="G470" s="148"/>
      <c r="H470" s="144"/>
    </row>
    <row r="471">
      <c r="B471" s="145"/>
      <c r="C471" s="144"/>
      <c r="G471" s="148"/>
      <c r="H471" s="144"/>
    </row>
    <row r="472">
      <c r="B472" s="145"/>
      <c r="C472" s="144"/>
      <c r="G472" s="148"/>
      <c r="H472" s="144"/>
    </row>
    <row r="473">
      <c r="B473" s="145"/>
      <c r="C473" s="144"/>
      <c r="G473" s="148"/>
      <c r="H473" s="144"/>
    </row>
    <row r="474">
      <c r="B474" s="145"/>
      <c r="C474" s="144"/>
      <c r="G474" s="148"/>
      <c r="H474" s="144"/>
    </row>
    <row r="475">
      <c r="B475" s="145"/>
      <c r="C475" s="144"/>
      <c r="G475" s="148"/>
      <c r="H475" s="144"/>
    </row>
    <row r="476">
      <c r="B476" s="145"/>
      <c r="C476" s="144"/>
      <c r="G476" s="148"/>
      <c r="H476" s="144"/>
    </row>
    <row r="477">
      <c r="B477" s="145"/>
      <c r="C477" s="144"/>
      <c r="G477" s="148"/>
      <c r="H477" s="144"/>
    </row>
    <row r="478">
      <c r="B478" s="145"/>
      <c r="C478" s="144"/>
      <c r="G478" s="148"/>
      <c r="H478" s="144"/>
    </row>
    <row r="479">
      <c r="B479" s="145"/>
      <c r="C479" s="144"/>
      <c r="G479" s="148"/>
      <c r="H479" s="144"/>
    </row>
    <row r="480">
      <c r="B480" s="145"/>
      <c r="C480" s="144"/>
      <c r="G480" s="148"/>
      <c r="H480" s="144"/>
    </row>
    <row r="481">
      <c r="B481" s="145"/>
      <c r="C481" s="144"/>
      <c r="G481" s="148"/>
      <c r="H481" s="144"/>
    </row>
    <row r="482">
      <c r="B482" s="145"/>
      <c r="C482" s="144"/>
      <c r="G482" s="148"/>
      <c r="H482" s="144"/>
    </row>
    <row r="483">
      <c r="B483" s="145"/>
      <c r="C483" s="144"/>
      <c r="G483" s="148"/>
      <c r="H483" s="144"/>
    </row>
    <row r="484">
      <c r="B484" s="145"/>
      <c r="C484" s="144"/>
      <c r="G484" s="148"/>
      <c r="H484" s="144"/>
    </row>
    <row r="485">
      <c r="B485" s="145"/>
      <c r="C485" s="144"/>
      <c r="G485" s="148"/>
      <c r="H485" s="144"/>
    </row>
    <row r="486">
      <c r="B486" s="145"/>
      <c r="C486" s="144"/>
      <c r="G486" s="148"/>
      <c r="H486" s="144"/>
    </row>
    <row r="487">
      <c r="B487" s="145"/>
      <c r="C487" s="144"/>
      <c r="G487" s="148"/>
      <c r="H487" s="144"/>
    </row>
    <row r="488">
      <c r="B488" s="145"/>
      <c r="C488" s="144"/>
      <c r="G488" s="148"/>
      <c r="H488" s="144"/>
    </row>
    <row r="489">
      <c r="B489" s="145"/>
      <c r="C489" s="144"/>
      <c r="G489" s="148"/>
      <c r="H489" s="144"/>
    </row>
    <row r="490">
      <c r="B490" s="145"/>
      <c r="C490" s="144"/>
      <c r="G490" s="148"/>
      <c r="H490" s="144"/>
    </row>
    <row r="491">
      <c r="B491" s="145"/>
      <c r="C491" s="144"/>
      <c r="G491" s="148"/>
      <c r="H491" s="144"/>
    </row>
    <row r="492">
      <c r="B492" s="145"/>
      <c r="C492" s="144"/>
      <c r="G492" s="148"/>
      <c r="H492" s="144"/>
    </row>
    <row r="493">
      <c r="B493" s="145"/>
      <c r="C493" s="144"/>
      <c r="G493" s="148"/>
      <c r="H493" s="144"/>
    </row>
    <row r="494">
      <c r="B494" s="145"/>
      <c r="C494" s="144"/>
      <c r="G494" s="148"/>
      <c r="H494" s="144"/>
    </row>
    <row r="495">
      <c r="B495" s="145"/>
      <c r="C495" s="144"/>
      <c r="G495" s="148"/>
      <c r="H495" s="144"/>
    </row>
    <row r="496">
      <c r="B496" s="145"/>
      <c r="C496" s="144"/>
      <c r="G496" s="148"/>
      <c r="H496" s="144"/>
    </row>
    <row r="497">
      <c r="B497" s="145"/>
      <c r="C497" s="144"/>
      <c r="G497" s="148"/>
      <c r="H497" s="144"/>
    </row>
    <row r="498">
      <c r="B498" s="145"/>
      <c r="C498" s="144"/>
      <c r="G498" s="148"/>
      <c r="H498" s="144"/>
    </row>
    <row r="499">
      <c r="B499" s="145"/>
      <c r="C499" s="144"/>
      <c r="G499" s="148"/>
      <c r="H499" s="144"/>
    </row>
    <row r="500">
      <c r="B500" s="145"/>
      <c r="C500" s="144"/>
      <c r="G500" s="148"/>
      <c r="H500" s="144"/>
    </row>
    <row r="501">
      <c r="B501" s="145"/>
      <c r="C501" s="144"/>
      <c r="G501" s="148"/>
      <c r="H501" s="144"/>
    </row>
    <row r="502">
      <c r="B502" s="145"/>
      <c r="C502" s="144"/>
      <c r="G502" s="148"/>
      <c r="H502" s="144"/>
    </row>
    <row r="503">
      <c r="B503" s="145"/>
      <c r="C503" s="144"/>
      <c r="G503" s="148"/>
      <c r="H503" s="144"/>
    </row>
    <row r="504">
      <c r="B504" s="145"/>
      <c r="C504" s="144"/>
      <c r="G504" s="148"/>
      <c r="H504" s="144"/>
    </row>
    <row r="505">
      <c r="B505" s="145"/>
      <c r="C505" s="144"/>
      <c r="G505" s="148"/>
      <c r="H505" s="144"/>
    </row>
    <row r="506">
      <c r="B506" s="145"/>
      <c r="C506" s="144"/>
      <c r="G506" s="148"/>
      <c r="H506" s="144"/>
    </row>
    <row r="507">
      <c r="B507" s="145"/>
      <c r="C507" s="144"/>
      <c r="G507" s="148"/>
      <c r="H507" s="144"/>
    </row>
    <row r="508">
      <c r="B508" s="145"/>
      <c r="C508" s="144"/>
      <c r="G508" s="148"/>
      <c r="H508" s="144"/>
    </row>
    <row r="509">
      <c r="B509" s="145"/>
      <c r="C509" s="144"/>
      <c r="G509" s="148"/>
      <c r="H509" s="144"/>
    </row>
    <row r="510">
      <c r="B510" s="145"/>
      <c r="C510" s="144"/>
      <c r="G510" s="148"/>
      <c r="H510" s="144"/>
    </row>
    <row r="511">
      <c r="B511" s="145"/>
      <c r="C511" s="144"/>
      <c r="G511" s="148"/>
      <c r="H511" s="144"/>
    </row>
    <row r="512">
      <c r="B512" s="145"/>
      <c r="C512" s="144"/>
      <c r="G512" s="148"/>
      <c r="H512" s="144"/>
    </row>
    <row r="513">
      <c r="B513" s="145"/>
      <c r="C513" s="144"/>
      <c r="G513" s="148"/>
      <c r="H513" s="144"/>
    </row>
    <row r="514">
      <c r="B514" s="145"/>
      <c r="C514" s="144"/>
      <c r="G514" s="148"/>
      <c r="H514" s="144"/>
    </row>
    <row r="515">
      <c r="B515" s="145"/>
      <c r="C515" s="144"/>
      <c r="G515" s="148"/>
      <c r="H515" s="144"/>
    </row>
    <row r="516">
      <c r="B516" s="145"/>
      <c r="C516" s="144"/>
      <c r="G516" s="148"/>
      <c r="H516" s="144"/>
    </row>
    <row r="517">
      <c r="B517" s="145"/>
      <c r="C517" s="144"/>
      <c r="G517" s="148"/>
      <c r="H517" s="144"/>
    </row>
    <row r="518">
      <c r="B518" s="145"/>
      <c r="C518" s="144"/>
      <c r="G518" s="148"/>
      <c r="H518" s="144"/>
    </row>
    <row r="519">
      <c r="B519" s="145"/>
      <c r="C519" s="144"/>
      <c r="G519" s="148"/>
      <c r="H519" s="144"/>
    </row>
    <row r="520">
      <c r="B520" s="145"/>
      <c r="C520" s="144"/>
      <c r="G520" s="148"/>
      <c r="H520" s="144"/>
    </row>
    <row r="521">
      <c r="B521" s="145"/>
      <c r="C521" s="144"/>
      <c r="G521" s="148"/>
      <c r="H521" s="144"/>
    </row>
    <row r="522">
      <c r="B522" s="145"/>
      <c r="C522" s="144"/>
      <c r="G522" s="148"/>
      <c r="H522" s="144"/>
    </row>
    <row r="523">
      <c r="B523" s="145"/>
      <c r="C523" s="144"/>
      <c r="G523" s="148"/>
      <c r="H523" s="144"/>
    </row>
    <row r="524">
      <c r="B524" s="145"/>
      <c r="C524" s="144"/>
      <c r="G524" s="148"/>
      <c r="H524" s="144"/>
    </row>
    <row r="525">
      <c r="B525" s="145"/>
      <c r="C525" s="144"/>
      <c r="G525" s="148"/>
      <c r="H525" s="144"/>
    </row>
    <row r="526">
      <c r="B526" s="145"/>
      <c r="C526" s="144"/>
      <c r="G526" s="148"/>
      <c r="H526" s="144"/>
    </row>
    <row r="527">
      <c r="B527" s="145"/>
      <c r="C527" s="144"/>
      <c r="G527" s="148"/>
      <c r="H527" s="144"/>
    </row>
    <row r="528">
      <c r="B528" s="145"/>
      <c r="C528" s="144"/>
      <c r="G528" s="148"/>
      <c r="H528" s="144"/>
    </row>
    <row r="529">
      <c r="B529" s="145"/>
      <c r="C529" s="144"/>
      <c r="G529" s="148"/>
      <c r="H529" s="144"/>
    </row>
    <row r="530">
      <c r="B530" s="145"/>
      <c r="C530" s="144"/>
      <c r="G530" s="148"/>
      <c r="H530" s="144"/>
    </row>
    <row r="531">
      <c r="B531" s="145"/>
      <c r="C531" s="144"/>
      <c r="G531" s="148"/>
      <c r="H531" s="144"/>
    </row>
    <row r="532">
      <c r="B532" s="145"/>
      <c r="C532" s="144"/>
      <c r="G532" s="148"/>
      <c r="H532" s="144"/>
    </row>
    <row r="533">
      <c r="B533" s="145"/>
      <c r="C533" s="144"/>
      <c r="G533" s="148"/>
      <c r="H533" s="144"/>
    </row>
    <row r="534">
      <c r="B534" s="145"/>
      <c r="C534" s="144"/>
      <c r="G534" s="148"/>
      <c r="H534" s="144"/>
    </row>
    <row r="535">
      <c r="B535" s="145"/>
      <c r="C535" s="144"/>
      <c r="G535" s="148"/>
      <c r="H535" s="144"/>
    </row>
    <row r="536">
      <c r="B536" s="145"/>
      <c r="C536" s="144"/>
      <c r="G536" s="148"/>
      <c r="H536" s="144"/>
    </row>
    <row r="537">
      <c r="B537" s="145"/>
      <c r="C537" s="144"/>
      <c r="G537" s="148"/>
      <c r="H537" s="144"/>
    </row>
    <row r="538">
      <c r="B538" s="145"/>
      <c r="C538" s="144"/>
      <c r="G538" s="148"/>
      <c r="H538" s="144"/>
    </row>
    <row r="539">
      <c r="B539" s="145"/>
      <c r="C539" s="144"/>
      <c r="G539" s="148"/>
      <c r="H539" s="144"/>
    </row>
    <row r="540">
      <c r="B540" s="145"/>
      <c r="C540" s="144"/>
      <c r="G540" s="148"/>
      <c r="H540" s="144"/>
    </row>
    <row r="541">
      <c r="B541" s="145"/>
      <c r="C541" s="144"/>
      <c r="G541" s="148"/>
      <c r="H541" s="144"/>
    </row>
    <row r="542">
      <c r="B542" s="145"/>
      <c r="C542" s="144"/>
      <c r="G542" s="148"/>
      <c r="H542" s="144"/>
    </row>
    <row r="543">
      <c r="B543" s="145"/>
      <c r="C543" s="144"/>
      <c r="G543" s="148"/>
      <c r="H543" s="144"/>
    </row>
    <row r="544">
      <c r="B544" s="145"/>
      <c r="C544" s="144"/>
      <c r="G544" s="148"/>
      <c r="H544" s="144"/>
    </row>
    <row r="545">
      <c r="B545" s="145"/>
      <c r="C545" s="144"/>
      <c r="G545" s="148"/>
      <c r="H545" s="144"/>
    </row>
    <row r="546">
      <c r="B546" s="145"/>
      <c r="C546" s="144"/>
      <c r="G546" s="148"/>
      <c r="H546" s="144"/>
    </row>
    <row r="547">
      <c r="B547" s="145"/>
      <c r="C547" s="144"/>
      <c r="G547" s="148"/>
      <c r="H547" s="144"/>
    </row>
    <row r="548">
      <c r="B548" s="145"/>
      <c r="C548" s="144"/>
      <c r="G548" s="148"/>
      <c r="H548" s="144"/>
    </row>
    <row r="549">
      <c r="B549" s="145"/>
      <c r="C549" s="144"/>
      <c r="G549" s="148"/>
      <c r="H549" s="144"/>
    </row>
    <row r="550">
      <c r="B550" s="145"/>
      <c r="C550" s="144"/>
      <c r="G550" s="148"/>
      <c r="H550" s="144"/>
    </row>
    <row r="551">
      <c r="B551" s="145"/>
      <c r="C551" s="144"/>
      <c r="G551" s="148"/>
      <c r="H551" s="144"/>
    </row>
    <row r="552">
      <c r="B552" s="145"/>
      <c r="C552" s="144"/>
      <c r="G552" s="148"/>
      <c r="H552" s="144"/>
    </row>
    <row r="553">
      <c r="B553" s="145"/>
      <c r="C553" s="144"/>
      <c r="G553" s="148"/>
      <c r="H553" s="144"/>
    </row>
    <row r="554">
      <c r="B554" s="145"/>
      <c r="C554" s="144"/>
      <c r="G554" s="148"/>
      <c r="H554" s="144"/>
    </row>
    <row r="555">
      <c r="B555" s="145"/>
      <c r="C555" s="144"/>
      <c r="G555" s="148"/>
      <c r="H555" s="144"/>
    </row>
    <row r="556">
      <c r="B556" s="145"/>
      <c r="C556" s="144"/>
      <c r="G556" s="148"/>
      <c r="H556" s="144"/>
    </row>
    <row r="557">
      <c r="B557" s="145"/>
      <c r="C557" s="144"/>
      <c r="G557" s="148"/>
      <c r="H557" s="144"/>
    </row>
    <row r="558">
      <c r="B558" s="145"/>
      <c r="C558" s="144"/>
      <c r="G558" s="148"/>
      <c r="H558" s="144"/>
    </row>
    <row r="559">
      <c r="B559" s="145"/>
      <c r="C559" s="144"/>
      <c r="G559" s="148"/>
      <c r="H559" s="144"/>
    </row>
    <row r="560">
      <c r="B560" s="145"/>
      <c r="C560" s="144"/>
      <c r="G560" s="148"/>
      <c r="H560" s="144"/>
    </row>
    <row r="561">
      <c r="B561" s="145"/>
      <c r="C561" s="144"/>
      <c r="G561" s="148"/>
      <c r="H561" s="144"/>
    </row>
    <row r="562">
      <c r="B562" s="145"/>
      <c r="C562" s="144"/>
      <c r="G562" s="148"/>
      <c r="H562" s="144"/>
    </row>
    <row r="563">
      <c r="B563" s="145"/>
      <c r="C563" s="144"/>
      <c r="G563" s="148"/>
      <c r="H563" s="144"/>
    </row>
    <row r="564">
      <c r="B564" s="145"/>
      <c r="C564" s="144"/>
      <c r="G564" s="148"/>
      <c r="H564" s="144"/>
    </row>
    <row r="565">
      <c r="B565" s="145"/>
      <c r="C565" s="144"/>
      <c r="G565" s="148"/>
      <c r="H565" s="144"/>
    </row>
    <row r="566">
      <c r="B566" s="145"/>
      <c r="C566" s="144"/>
      <c r="G566" s="148"/>
      <c r="H566" s="144"/>
    </row>
    <row r="567">
      <c r="B567" s="145"/>
      <c r="C567" s="144"/>
      <c r="G567" s="148"/>
      <c r="H567" s="144"/>
    </row>
    <row r="568">
      <c r="B568" s="145"/>
      <c r="C568" s="144"/>
      <c r="G568" s="148"/>
      <c r="H568" s="144"/>
    </row>
    <row r="569">
      <c r="B569" s="145"/>
      <c r="C569" s="144"/>
      <c r="G569" s="148"/>
      <c r="H569" s="144"/>
    </row>
    <row r="570">
      <c r="B570" s="145"/>
      <c r="C570" s="144"/>
      <c r="G570" s="148"/>
      <c r="H570" s="144"/>
    </row>
    <row r="571">
      <c r="B571" s="145"/>
      <c r="C571" s="144"/>
      <c r="G571" s="148"/>
      <c r="H571" s="144"/>
    </row>
    <row r="572">
      <c r="B572" s="145"/>
      <c r="C572" s="144"/>
      <c r="G572" s="148"/>
      <c r="H572" s="144"/>
    </row>
    <row r="573">
      <c r="B573" s="145"/>
      <c r="C573" s="144"/>
      <c r="G573" s="148"/>
      <c r="H573" s="144"/>
    </row>
    <row r="574">
      <c r="B574" s="145"/>
      <c r="C574" s="144"/>
      <c r="G574" s="148"/>
      <c r="H574" s="144"/>
    </row>
    <row r="575">
      <c r="B575" s="145"/>
      <c r="C575" s="144"/>
      <c r="G575" s="148"/>
      <c r="H575" s="144"/>
    </row>
    <row r="576">
      <c r="B576" s="145"/>
      <c r="C576" s="144"/>
      <c r="G576" s="148"/>
      <c r="H576" s="144"/>
    </row>
    <row r="577">
      <c r="B577" s="145"/>
      <c r="C577" s="144"/>
      <c r="G577" s="148"/>
      <c r="H577" s="144"/>
    </row>
    <row r="578">
      <c r="B578" s="145"/>
      <c r="C578" s="144"/>
      <c r="G578" s="148"/>
      <c r="H578" s="144"/>
    </row>
    <row r="579">
      <c r="B579" s="145"/>
      <c r="C579" s="144"/>
      <c r="G579" s="148"/>
      <c r="H579" s="144"/>
    </row>
    <row r="580">
      <c r="B580" s="145"/>
      <c r="C580" s="144"/>
      <c r="G580" s="148"/>
      <c r="H580" s="144"/>
    </row>
    <row r="581">
      <c r="B581" s="145"/>
      <c r="C581" s="144"/>
      <c r="G581" s="148"/>
      <c r="H581" s="144"/>
    </row>
    <row r="582">
      <c r="B582" s="145"/>
      <c r="C582" s="144"/>
      <c r="G582" s="148"/>
      <c r="H582" s="144"/>
    </row>
    <row r="583">
      <c r="B583" s="145"/>
      <c r="C583" s="144"/>
      <c r="G583" s="148"/>
      <c r="H583" s="144"/>
    </row>
    <row r="584">
      <c r="B584" s="145"/>
      <c r="C584" s="144"/>
      <c r="G584" s="148"/>
      <c r="H584" s="144"/>
    </row>
    <row r="585">
      <c r="B585" s="145"/>
      <c r="C585" s="144"/>
      <c r="G585" s="148"/>
      <c r="H585" s="144"/>
    </row>
    <row r="586">
      <c r="B586" s="145"/>
      <c r="C586" s="144"/>
      <c r="G586" s="148"/>
      <c r="H586" s="144"/>
    </row>
    <row r="587">
      <c r="B587" s="145"/>
      <c r="C587" s="144"/>
      <c r="G587" s="148"/>
      <c r="H587" s="144"/>
    </row>
    <row r="588">
      <c r="B588" s="145"/>
      <c r="C588" s="144"/>
      <c r="G588" s="148"/>
      <c r="H588" s="144"/>
    </row>
    <row r="589">
      <c r="B589" s="145"/>
      <c r="C589" s="144"/>
      <c r="G589" s="148"/>
      <c r="H589" s="144"/>
    </row>
    <row r="590">
      <c r="B590" s="145"/>
      <c r="C590" s="144"/>
      <c r="G590" s="148"/>
      <c r="H590" s="144"/>
    </row>
    <row r="591">
      <c r="B591" s="145"/>
      <c r="C591" s="144"/>
      <c r="G591" s="148"/>
      <c r="H591" s="144"/>
    </row>
    <row r="592">
      <c r="B592" s="145"/>
      <c r="C592" s="144"/>
      <c r="G592" s="148"/>
      <c r="H592" s="144"/>
    </row>
    <row r="593">
      <c r="B593" s="145"/>
      <c r="C593" s="144"/>
      <c r="G593" s="148"/>
      <c r="H593" s="144"/>
    </row>
    <row r="594">
      <c r="B594" s="145"/>
      <c r="C594" s="144"/>
      <c r="G594" s="148"/>
      <c r="H594" s="144"/>
    </row>
    <row r="595">
      <c r="B595" s="145"/>
      <c r="C595" s="144"/>
      <c r="G595" s="148"/>
      <c r="H595" s="144"/>
    </row>
    <row r="596">
      <c r="B596" s="145"/>
      <c r="C596" s="144"/>
      <c r="G596" s="148"/>
      <c r="H596" s="144"/>
    </row>
    <row r="597">
      <c r="B597" s="145"/>
      <c r="C597" s="144"/>
      <c r="G597" s="148"/>
      <c r="H597" s="144"/>
    </row>
    <row r="598">
      <c r="B598" s="145"/>
      <c r="C598" s="144"/>
      <c r="G598" s="148"/>
      <c r="H598" s="144"/>
    </row>
    <row r="599">
      <c r="B599" s="145"/>
      <c r="C599" s="144"/>
      <c r="G599" s="148"/>
      <c r="H599" s="144"/>
    </row>
    <row r="600">
      <c r="B600" s="145"/>
      <c r="C600" s="144"/>
      <c r="G600" s="148"/>
      <c r="H600" s="144"/>
    </row>
    <row r="601">
      <c r="B601" s="145"/>
      <c r="C601" s="144"/>
      <c r="G601" s="148"/>
      <c r="H601" s="144"/>
    </row>
    <row r="602">
      <c r="B602" s="145"/>
      <c r="C602" s="144"/>
      <c r="G602" s="148"/>
      <c r="H602" s="144"/>
    </row>
    <row r="603">
      <c r="B603" s="145"/>
      <c r="C603" s="144"/>
      <c r="G603" s="148"/>
      <c r="H603" s="144"/>
    </row>
    <row r="604">
      <c r="B604" s="145"/>
      <c r="C604" s="144"/>
      <c r="G604" s="148"/>
      <c r="H604" s="144"/>
    </row>
    <row r="605">
      <c r="B605" s="145"/>
      <c r="C605" s="144"/>
      <c r="G605" s="148"/>
      <c r="H605" s="144"/>
    </row>
    <row r="606">
      <c r="B606" s="145"/>
      <c r="C606" s="144"/>
      <c r="G606" s="148"/>
      <c r="H606" s="144"/>
    </row>
    <row r="607">
      <c r="B607" s="145"/>
      <c r="C607" s="144"/>
      <c r="G607" s="148"/>
      <c r="H607" s="144"/>
    </row>
    <row r="608">
      <c r="B608" s="145"/>
      <c r="C608" s="144"/>
      <c r="G608" s="148"/>
      <c r="H608" s="144"/>
    </row>
    <row r="609">
      <c r="B609" s="145"/>
      <c r="C609" s="144"/>
      <c r="G609" s="148"/>
      <c r="H609" s="144"/>
    </row>
    <row r="610">
      <c r="B610" s="145"/>
      <c r="C610" s="144"/>
      <c r="G610" s="148"/>
      <c r="H610" s="144"/>
    </row>
    <row r="611">
      <c r="B611" s="145"/>
      <c r="C611" s="144"/>
      <c r="G611" s="148"/>
      <c r="H611" s="144"/>
    </row>
    <row r="612">
      <c r="B612" s="145"/>
      <c r="C612" s="144"/>
      <c r="G612" s="148"/>
      <c r="H612" s="144"/>
    </row>
    <row r="613">
      <c r="B613" s="145"/>
      <c r="C613" s="144"/>
      <c r="G613" s="148"/>
      <c r="H613" s="144"/>
    </row>
    <row r="614">
      <c r="B614" s="145"/>
      <c r="C614" s="144"/>
      <c r="G614" s="148"/>
      <c r="H614" s="144"/>
    </row>
    <row r="615">
      <c r="B615" s="145"/>
      <c r="C615" s="144"/>
      <c r="G615" s="148"/>
      <c r="H615" s="144"/>
    </row>
    <row r="616">
      <c r="B616" s="145"/>
      <c r="C616" s="144"/>
      <c r="G616" s="148"/>
      <c r="H616" s="144"/>
    </row>
    <row r="617">
      <c r="B617" s="145"/>
      <c r="C617" s="144"/>
      <c r="G617" s="148"/>
      <c r="H617" s="144"/>
    </row>
    <row r="618">
      <c r="B618" s="145"/>
      <c r="C618" s="144"/>
      <c r="G618" s="148"/>
      <c r="H618" s="144"/>
    </row>
    <row r="619">
      <c r="B619" s="145"/>
      <c r="C619" s="144"/>
      <c r="G619" s="148"/>
      <c r="H619" s="144"/>
    </row>
    <row r="620">
      <c r="B620" s="145"/>
      <c r="C620" s="144"/>
      <c r="G620" s="148"/>
      <c r="H620" s="144"/>
    </row>
    <row r="621">
      <c r="B621" s="145"/>
      <c r="C621" s="144"/>
      <c r="G621" s="148"/>
      <c r="H621" s="144"/>
    </row>
    <row r="622">
      <c r="B622" s="145"/>
      <c r="C622" s="144"/>
      <c r="G622" s="148"/>
      <c r="H622" s="144"/>
    </row>
    <row r="623">
      <c r="B623" s="145"/>
      <c r="C623" s="144"/>
      <c r="G623" s="148"/>
      <c r="H623" s="144"/>
    </row>
    <row r="624">
      <c r="B624" s="145"/>
      <c r="C624" s="144"/>
      <c r="G624" s="148"/>
      <c r="H624" s="144"/>
    </row>
    <row r="625">
      <c r="B625" s="145"/>
      <c r="C625" s="144"/>
      <c r="G625" s="148"/>
      <c r="H625" s="144"/>
    </row>
    <row r="626">
      <c r="B626" s="145"/>
      <c r="C626" s="144"/>
      <c r="G626" s="148"/>
      <c r="H626" s="144"/>
    </row>
    <row r="627">
      <c r="B627" s="145"/>
      <c r="C627" s="144"/>
      <c r="G627" s="148"/>
      <c r="H627" s="144"/>
    </row>
    <row r="628">
      <c r="B628" s="145"/>
      <c r="C628" s="144"/>
      <c r="G628" s="148"/>
      <c r="H628" s="144"/>
    </row>
    <row r="629">
      <c r="B629" s="145"/>
      <c r="C629" s="144"/>
      <c r="G629" s="148"/>
      <c r="H629" s="144"/>
    </row>
    <row r="630">
      <c r="B630" s="145"/>
      <c r="C630" s="144"/>
      <c r="G630" s="148"/>
      <c r="H630" s="144"/>
    </row>
    <row r="631">
      <c r="B631" s="145"/>
      <c r="C631" s="144"/>
      <c r="G631" s="148"/>
      <c r="H631" s="144"/>
    </row>
    <row r="632">
      <c r="B632" s="145"/>
      <c r="C632" s="144"/>
      <c r="G632" s="148"/>
      <c r="H632" s="144"/>
    </row>
    <row r="633">
      <c r="B633" s="145"/>
      <c r="C633" s="144"/>
      <c r="G633" s="148"/>
      <c r="H633" s="144"/>
    </row>
    <row r="634">
      <c r="B634" s="145"/>
      <c r="C634" s="144"/>
      <c r="G634" s="148"/>
      <c r="H634" s="144"/>
    </row>
    <row r="635">
      <c r="B635" s="145"/>
      <c r="C635" s="144"/>
      <c r="G635" s="148"/>
      <c r="H635" s="144"/>
    </row>
    <row r="636">
      <c r="B636" s="145"/>
      <c r="C636" s="144"/>
      <c r="G636" s="148"/>
      <c r="H636" s="144"/>
    </row>
    <row r="637">
      <c r="B637" s="145"/>
      <c r="C637" s="144"/>
      <c r="G637" s="148"/>
      <c r="H637" s="144"/>
    </row>
    <row r="638">
      <c r="B638" s="145"/>
      <c r="C638" s="144"/>
      <c r="G638" s="148"/>
      <c r="H638" s="144"/>
    </row>
    <row r="639">
      <c r="B639" s="145"/>
      <c r="C639" s="144"/>
      <c r="G639" s="148"/>
      <c r="H639" s="144"/>
    </row>
    <row r="640">
      <c r="B640" s="145"/>
      <c r="C640" s="144"/>
      <c r="G640" s="148"/>
      <c r="H640" s="144"/>
    </row>
    <row r="641">
      <c r="B641" s="145"/>
      <c r="C641" s="144"/>
      <c r="G641" s="148"/>
      <c r="H641" s="144"/>
    </row>
    <row r="642">
      <c r="B642" s="145"/>
      <c r="C642" s="144"/>
      <c r="G642" s="148"/>
      <c r="H642" s="144"/>
    </row>
    <row r="643">
      <c r="B643" s="145"/>
      <c r="C643" s="144"/>
      <c r="G643" s="148"/>
      <c r="H643" s="144"/>
    </row>
    <row r="644">
      <c r="B644" s="145"/>
      <c r="C644" s="144"/>
      <c r="G644" s="148"/>
      <c r="H644" s="144"/>
    </row>
    <row r="645">
      <c r="B645" s="145"/>
      <c r="C645" s="144"/>
      <c r="G645" s="148"/>
      <c r="H645" s="144"/>
    </row>
    <row r="646">
      <c r="B646" s="145"/>
      <c r="C646" s="144"/>
      <c r="G646" s="148"/>
      <c r="H646" s="144"/>
    </row>
    <row r="647">
      <c r="B647" s="145"/>
      <c r="C647" s="144"/>
      <c r="G647" s="148"/>
      <c r="H647" s="144"/>
    </row>
    <row r="648">
      <c r="B648" s="145"/>
      <c r="C648" s="144"/>
      <c r="G648" s="148"/>
      <c r="H648" s="144"/>
    </row>
    <row r="649">
      <c r="B649" s="145"/>
      <c r="C649" s="144"/>
      <c r="G649" s="148"/>
      <c r="H649" s="144"/>
    </row>
    <row r="650">
      <c r="B650" s="145"/>
      <c r="C650" s="144"/>
      <c r="G650" s="148"/>
      <c r="H650" s="144"/>
    </row>
    <row r="651">
      <c r="B651" s="145"/>
      <c r="C651" s="144"/>
      <c r="G651" s="148"/>
      <c r="H651" s="144"/>
    </row>
    <row r="652">
      <c r="B652" s="145"/>
      <c r="C652" s="144"/>
      <c r="G652" s="148"/>
      <c r="H652" s="144"/>
    </row>
    <row r="653">
      <c r="B653" s="145"/>
      <c r="C653" s="144"/>
      <c r="G653" s="148"/>
      <c r="H653" s="144"/>
    </row>
    <row r="654">
      <c r="B654" s="145"/>
      <c r="C654" s="144"/>
      <c r="G654" s="148"/>
      <c r="H654" s="144"/>
    </row>
    <row r="655">
      <c r="B655" s="145"/>
      <c r="C655" s="144"/>
      <c r="G655" s="148"/>
      <c r="H655" s="144"/>
    </row>
    <row r="656">
      <c r="B656" s="145"/>
      <c r="C656" s="144"/>
      <c r="G656" s="148"/>
      <c r="H656" s="144"/>
    </row>
    <row r="657">
      <c r="B657" s="145"/>
      <c r="C657" s="144"/>
      <c r="G657" s="148"/>
      <c r="H657" s="144"/>
    </row>
    <row r="658">
      <c r="B658" s="145"/>
      <c r="C658" s="144"/>
      <c r="G658" s="148"/>
      <c r="H658" s="144"/>
    </row>
    <row r="659">
      <c r="B659" s="145"/>
      <c r="C659" s="144"/>
      <c r="G659" s="148"/>
      <c r="H659" s="144"/>
    </row>
    <row r="660">
      <c r="B660" s="145"/>
      <c r="C660" s="144"/>
      <c r="G660" s="148"/>
      <c r="H660" s="144"/>
    </row>
    <row r="661">
      <c r="B661" s="145"/>
      <c r="C661" s="144"/>
      <c r="G661" s="148"/>
      <c r="H661" s="144"/>
    </row>
    <row r="662">
      <c r="B662" s="145"/>
      <c r="C662" s="144"/>
      <c r="G662" s="148"/>
      <c r="H662" s="144"/>
    </row>
    <row r="663">
      <c r="B663" s="145"/>
      <c r="C663" s="144"/>
      <c r="G663" s="148"/>
      <c r="H663" s="144"/>
    </row>
    <row r="664">
      <c r="B664" s="145"/>
      <c r="C664" s="144"/>
      <c r="G664" s="148"/>
      <c r="H664" s="144"/>
    </row>
    <row r="665">
      <c r="B665" s="145"/>
      <c r="C665" s="144"/>
      <c r="G665" s="148"/>
      <c r="H665" s="144"/>
    </row>
    <row r="666">
      <c r="B666" s="145"/>
      <c r="C666" s="144"/>
      <c r="G666" s="148"/>
      <c r="H666" s="144"/>
    </row>
    <row r="667">
      <c r="B667" s="145"/>
      <c r="C667" s="144"/>
      <c r="G667" s="148"/>
      <c r="H667" s="144"/>
    </row>
    <row r="668">
      <c r="B668" s="145"/>
      <c r="C668" s="144"/>
      <c r="G668" s="148"/>
      <c r="H668" s="144"/>
    </row>
    <row r="669">
      <c r="B669" s="145"/>
      <c r="C669" s="144"/>
      <c r="G669" s="148"/>
      <c r="H669" s="144"/>
    </row>
    <row r="670">
      <c r="B670" s="145"/>
      <c r="C670" s="144"/>
      <c r="G670" s="148"/>
      <c r="H670" s="144"/>
    </row>
    <row r="671">
      <c r="B671" s="145"/>
      <c r="C671" s="144"/>
      <c r="G671" s="148"/>
      <c r="H671" s="144"/>
    </row>
    <row r="672">
      <c r="B672" s="145"/>
      <c r="C672" s="144"/>
      <c r="G672" s="148"/>
      <c r="H672" s="144"/>
    </row>
    <row r="673">
      <c r="B673" s="145"/>
      <c r="C673" s="144"/>
      <c r="G673" s="148"/>
      <c r="H673" s="144"/>
    </row>
    <row r="674">
      <c r="B674" s="145"/>
      <c r="C674" s="144"/>
      <c r="G674" s="148"/>
      <c r="H674" s="144"/>
    </row>
    <row r="675">
      <c r="B675" s="145"/>
      <c r="C675" s="144"/>
      <c r="G675" s="148"/>
      <c r="H675" s="144"/>
    </row>
    <row r="676">
      <c r="B676" s="145"/>
      <c r="C676" s="144"/>
      <c r="G676" s="148"/>
      <c r="H676" s="144"/>
    </row>
    <row r="677">
      <c r="B677" s="145"/>
      <c r="C677" s="144"/>
      <c r="G677" s="148"/>
      <c r="H677" s="144"/>
    </row>
    <row r="678">
      <c r="B678" s="145"/>
      <c r="C678" s="144"/>
      <c r="G678" s="148"/>
      <c r="H678" s="144"/>
    </row>
    <row r="679">
      <c r="B679" s="145"/>
      <c r="C679" s="144"/>
      <c r="G679" s="148"/>
      <c r="H679" s="144"/>
    </row>
    <row r="680">
      <c r="B680" s="145"/>
      <c r="C680" s="144"/>
      <c r="G680" s="148"/>
      <c r="H680" s="144"/>
    </row>
    <row r="681">
      <c r="B681" s="145"/>
      <c r="C681" s="144"/>
      <c r="G681" s="148"/>
      <c r="H681" s="144"/>
    </row>
    <row r="682">
      <c r="B682" s="145"/>
      <c r="C682" s="144"/>
      <c r="G682" s="148"/>
      <c r="H682" s="144"/>
    </row>
    <row r="683">
      <c r="B683" s="145"/>
      <c r="C683" s="144"/>
      <c r="G683" s="148"/>
      <c r="H683" s="144"/>
    </row>
    <row r="684">
      <c r="B684" s="145"/>
      <c r="C684" s="144"/>
      <c r="G684" s="148"/>
      <c r="H684" s="144"/>
    </row>
    <row r="685">
      <c r="B685" s="145"/>
      <c r="C685" s="144"/>
      <c r="G685" s="148"/>
      <c r="H685" s="144"/>
    </row>
    <row r="686">
      <c r="B686" s="145"/>
      <c r="C686" s="144"/>
      <c r="G686" s="148"/>
      <c r="H686" s="144"/>
    </row>
    <row r="687">
      <c r="B687" s="145"/>
      <c r="C687" s="144"/>
      <c r="G687" s="148"/>
      <c r="H687" s="144"/>
    </row>
    <row r="688">
      <c r="B688" s="145"/>
      <c r="C688" s="144"/>
      <c r="G688" s="148"/>
      <c r="H688" s="144"/>
    </row>
    <row r="689">
      <c r="B689" s="145"/>
      <c r="C689" s="144"/>
      <c r="G689" s="148"/>
      <c r="H689" s="144"/>
    </row>
    <row r="690">
      <c r="B690" s="145"/>
      <c r="C690" s="144"/>
      <c r="G690" s="148"/>
      <c r="H690" s="144"/>
    </row>
    <row r="691">
      <c r="B691" s="145"/>
      <c r="C691" s="144"/>
      <c r="G691" s="148"/>
      <c r="H691" s="144"/>
    </row>
    <row r="692">
      <c r="B692" s="145"/>
      <c r="C692" s="144"/>
      <c r="G692" s="148"/>
      <c r="H692" s="144"/>
    </row>
    <row r="693">
      <c r="B693" s="145"/>
      <c r="C693" s="144"/>
      <c r="G693" s="148"/>
      <c r="H693" s="144"/>
    </row>
    <row r="694">
      <c r="B694" s="145"/>
      <c r="C694" s="144"/>
      <c r="G694" s="148"/>
      <c r="H694" s="144"/>
    </row>
    <row r="695">
      <c r="B695" s="145"/>
      <c r="C695" s="144"/>
      <c r="G695" s="148"/>
      <c r="H695" s="144"/>
    </row>
    <row r="696">
      <c r="B696" s="145"/>
      <c r="C696" s="144"/>
      <c r="G696" s="148"/>
      <c r="H696" s="144"/>
    </row>
    <row r="697">
      <c r="B697" s="145"/>
      <c r="C697" s="144"/>
      <c r="G697" s="148"/>
      <c r="H697" s="144"/>
    </row>
    <row r="698">
      <c r="B698" s="145"/>
      <c r="C698" s="144"/>
      <c r="G698" s="148"/>
      <c r="H698" s="144"/>
    </row>
    <row r="699">
      <c r="B699" s="145"/>
      <c r="C699" s="144"/>
      <c r="G699" s="148"/>
      <c r="H699" s="144"/>
    </row>
    <row r="700">
      <c r="B700" s="145"/>
      <c r="C700" s="144"/>
      <c r="G700" s="148"/>
      <c r="H700" s="144"/>
    </row>
    <row r="701">
      <c r="B701" s="145"/>
      <c r="C701" s="144"/>
      <c r="G701" s="148"/>
      <c r="H701" s="144"/>
    </row>
    <row r="702">
      <c r="B702" s="145"/>
      <c r="C702" s="144"/>
      <c r="G702" s="148"/>
      <c r="H702" s="144"/>
    </row>
    <row r="703">
      <c r="B703" s="145"/>
      <c r="C703" s="144"/>
      <c r="G703" s="148"/>
      <c r="H703" s="144"/>
    </row>
    <row r="704">
      <c r="B704" s="145"/>
      <c r="C704" s="144"/>
      <c r="G704" s="148"/>
      <c r="H704" s="144"/>
    </row>
    <row r="705">
      <c r="B705" s="145"/>
      <c r="C705" s="144"/>
      <c r="G705" s="148"/>
      <c r="H705" s="144"/>
    </row>
    <row r="706">
      <c r="B706" s="145"/>
      <c r="C706" s="144"/>
      <c r="G706" s="148"/>
      <c r="H706" s="144"/>
    </row>
    <row r="707">
      <c r="B707" s="145"/>
      <c r="C707" s="144"/>
      <c r="G707" s="148"/>
      <c r="H707" s="144"/>
    </row>
    <row r="708">
      <c r="B708" s="145"/>
      <c r="C708" s="144"/>
      <c r="G708" s="148"/>
      <c r="H708" s="144"/>
    </row>
    <row r="709">
      <c r="B709" s="145"/>
      <c r="C709" s="144"/>
      <c r="G709" s="148"/>
      <c r="H709" s="144"/>
    </row>
    <row r="710">
      <c r="B710" s="145"/>
      <c r="C710" s="144"/>
      <c r="G710" s="148"/>
      <c r="H710" s="144"/>
    </row>
    <row r="711">
      <c r="B711" s="145"/>
      <c r="C711" s="144"/>
      <c r="G711" s="148"/>
      <c r="H711" s="144"/>
    </row>
    <row r="712">
      <c r="B712" s="145"/>
      <c r="C712" s="144"/>
      <c r="G712" s="148"/>
      <c r="H712" s="144"/>
    </row>
    <row r="713">
      <c r="B713" s="145"/>
      <c r="C713" s="144"/>
      <c r="G713" s="148"/>
      <c r="H713" s="144"/>
    </row>
    <row r="714">
      <c r="B714" s="145"/>
      <c r="C714" s="144"/>
      <c r="G714" s="148"/>
      <c r="H714" s="144"/>
    </row>
    <row r="715">
      <c r="B715" s="145"/>
      <c r="C715" s="144"/>
      <c r="G715" s="148"/>
      <c r="H715" s="144"/>
    </row>
    <row r="716">
      <c r="B716" s="145"/>
      <c r="C716" s="144"/>
      <c r="G716" s="148"/>
      <c r="H716" s="144"/>
    </row>
    <row r="717">
      <c r="B717" s="145"/>
      <c r="C717" s="144"/>
      <c r="G717" s="148"/>
      <c r="H717" s="144"/>
    </row>
    <row r="718">
      <c r="B718" s="145"/>
      <c r="C718" s="144"/>
      <c r="G718" s="148"/>
      <c r="H718" s="144"/>
    </row>
    <row r="719">
      <c r="B719" s="145"/>
      <c r="C719" s="144"/>
      <c r="G719" s="148"/>
      <c r="H719" s="144"/>
    </row>
    <row r="720">
      <c r="B720" s="145"/>
      <c r="C720" s="144"/>
      <c r="G720" s="148"/>
      <c r="H720" s="144"/>
    </row>
    <row r="721">
      <c r="B721" s="145"/>
      <c r="C721" s="144"/>
      <c r="G721" s="148"/>
      <c r="H721" s="144"/>
    </row>
    <row r="722">
      <c r="B722" s="145"/>
      <c r="C722" s="144"/>
      <c r="G722" s="148"/>
      <c r="H722" s="144"/>
    </row>
    <row r="723">
      <c r="B723" s="145"/>
      <c r="C723" s="144"/>
      <c r="G723" s="148"/>
      <c r="H723" s="144"/>
    </row>
    <row r="724">
      <c r="B724" s="145"/>
      <c r="C724" s="144"/>
      <c r="G724" s="148"/>
      <c r="H724" s="144"/>
    </row>
    <row r="725">
      <c r="B725" s="145"/>
      <c r="C725" s="144"/>
      <c r="G725" s="148"/>
      <c r="H725" s="144"/>
    </row>
    <row r="726">
      <c r="B726" s="145"/>
      <c r="C726" s="144"/>
      <c r="G726" s="148"/>
      <c r="H726" s="144"/>
    </row>
    <row r="727">
      <c r="B727" s="145"/>
      <c r="C727" s="144"/>
      <c r="G727" s="148"/>
      <c r="H727" s="144"/>
    </row>
    <row r="728">
      <c r="B728" s="145"/>
      <c r="C728" s="144"/>
      <c r="G728" s="148"/>
      <c r="H728" s="144"/>
    </row>
    <row r="729">
      <c r="B729" s="145"/>
      <c r="C729" s="144"/>
      <c r="G729" s="148"/>
      <c r="H729" s="144"/>
    </row>
    <row r="730">
      <c r="B730" s="145"/>
      <c r="C730" s="144"/>
      <c r="G730" s="148"/>
      <c r="H730" s="144"/>
    </row>
    <row r="731">
      <c r="B731" s="145"/>
      <c r="C731" s="144"/>
      <c r="G731" s="148"/>
      <c r="H731" s="144"/>
    </row>
    <row r="732">
      <c r="B732" s="145"/>
      <c r="C732" s="144"/>
      <c r="G732" s="148"/>
      <c r="H732" s="144"/>
    </row>
    <row r="733">
      <c r="B733" s="145"/>
      <c r="C733" s="144"/>
      <c r="G733" s="148"/>
      <c r="H733" s="144"/>
    </row>
    <row r="734">
      <c r="B734" s="145"/>
      <c r="C734" s="144"/>
      <c r="G734" s="148"/>
      <c r="H734" s="144"/>
    </row>
    <row r="735">
      <c r="B735" s="145"/>
      <c r="C735" s="144"/>
      <c r="G735" s="148"/>
      <c r="H735" s="144"/>
    </row>
    <row r="736">
      <c r="B736" s="145"/>
      <c r="C736" s="144"/>
      <c r="G736" s="148"/>
      <c r="H736" s="144"/>
    </row>
    <row r="737">
      <c r="B737" s="145"/>
      <c r="C737" s="144"/>
      <c r="G737" s="148"/>
      <c r="H737" s="144"/>
    </row>
    <row r="738">
      <c r="B738" s="145"/>
      <c r="C738" s="144"/>
      <c r="G738" s="148"/>
      <c r="H738" s="144"/>
    </row>
    <row r="739">
      <c r="B739" s="145"/>
      <c r="C739" s="144"/>
      <c r="G739" s="148"/>
      <c r="H739" s="144"/>
    </row>
    <row r="740">
      <c r="B740" s="145"/>
      <c r="C740" s="144"/>
      <c r="G740" s="148"/>
      <c r="H740" s="144"/>
    </row>
    <row r="741">
      <c r="B741" s="145"/>
      <c r="C741" s="144"/>
      <c r="G741" s="148"/>
      <c r="H741" s="144"/>
    </row>
    <row r="742">
      <c r="B742" s="145"/>
      <c r="C742" s="144"/>
      <c r="G742" s="148"/>
      <c r="H742" s="144"/>
    </row>
    <row r="743">
      <c r="B743" s="145"/>
      <c r="C743" s="144"/>
      <c r="G743" s="148"/>
      <c r="H743" s="144"/>
    </row>
    <row r="744">
      <c r="B744" s="145"/>
      <c r="C744" s="144"/>
      <c r="G744" s="148"/>
      <c r="H744" s="144"/>
    </row>
    <row r="745">
      <c r="B745" s="145"/>
      <c r="C745" s="144"/>
      <c r="G745" s="148"/>
      <c r="H745" s="144"/>
    </row>
    <row r="746">
      <c r="B746" s="145"/>
      <c r="C746" s="144"/>
      <c r="G746" s="148"/>
      <c r="H746" s="144"/>
    </row>
    <row r="747">
      <c r="B747" s="145"/>
      <c r="C747" s="144"/>
      <c r="G747" s="148"/>
      <c r="H747" s="144"/>
    </row>
    <row r="748">
      <c r="B748" s="145"/>
      <c r="C748" s="144"/>
      <c r="G748" s="148"/>
      <c r="H748" s="144"/>
    </row>
    <row r="749">
      <c r="B749" s="145"/>
      <c r="C749" s="144"/>
      <c r="G749" s="148"/>
      <c r="H749" s="144"/>
    </row>
    <row r="750">
      <c r="B750" s="145"/>
      <c r="C750" s="144"/>
      <c r="G750" s="148"/>
      <c r="H750" s="144"/>
    </row>
    <row r="751">
      <c r="B751" s="145"/>
      <c r="C751" s="144"/>
      <c r="G751" s="148"/>
      <c r="H751" s="144"/>
    </row>
    <row r="752">
      <c r="B752" s="145"/>
      <c r="C752" s="144"/>
      <c r="G752" s="148"/>
      <c r="H752" s="144"/>
    </row>
    <row r="753">
      <c r="B753" s="145"/>
      <c r="C753" s="144"/>
      <c r="G753" s="148"/>
      <c r="H753" s="144"/>
    </row>
    <row r="754">
      <c r="B754" s="145"/>
      <c r="C754" s="144"/>
      <c r="G754" s="148"/>
      <c r="H754" s="144"/>
    </row>
    <row r="755">
      <c r="B755" s="145"/>
      <c r="C755" s="144"/>
      <c r="G755" s="148"/>
      <c r="H755" s="144"/>
    </row>
    <row r="756">
      <c r="B756" s="145"/>
      <c r="C756" s="144"/>
      <c r="G756" s="148"/>
      <c r="H756" s="144"/>
    </row>
    <row r="757">
      <c r="B757" s="145"/>
      <c r="C757" s="144"/>
      <c r="G757" s="148"/>
      <c r="H757" s="144"/>
    </row>
    <row r="758">
      <c r="B758" s="145"/>
      <c r="C758" s="144"/>
      <c r="G758" s="148"/>
      <c r="H758" s="144"/>
    </row>
    <row r="759">
      <c r="B759" s="145"/>
      <c r="C759" s="144"/>
      <c r="G759" s="148"/>
      <c r="H759" s="144"/>
    </row>
    <row r="760">
      <c r="B760" s="145"/>
      <c r="C760" s="144"/>
      <c r="G760" s="148"/>
      <c r="H760" s="144"/>
    </row>
    <row r="761">
      <c r="B761" s="145"/>
      <c r="C761" s="144"/>
      <c r="G761" s="148"/>
      <c r="H761" s="144"/>
    </row>
    <row r="762">
      <c r="B762" s="145"/>
      <c r="C762" s="144"/>
      <c r="G762" s="148"/>
      <c r="H762" s="144"/>
    </row>
    <row r="763">
      <c r="B763" s="145"/>
      <c r="C763" s="144"/>
      <c r="G763" s="148"/>
      <c r="H763" s="144"/>
    </row>
    <row r="764">
      <c r="B764" s="145"/>
      <c r="C764" s="144"/>
      <c r="G764" s="148"/>
      <c r="H764" s="144"/>
    </row>
    <row r="765">
      <c r="B765" s="145"/>
      <c r="C765" s="144"/>
      <c r="G765" s="148"/>
      <c r="H765" s="144"/>
    </row>
    <row r="766">
      <c r="B766" s="145"/>
      <c r="C766" s="144"/>
      <c r="G766" s="148"/>
      <c r="H766" s="144"/>
    </row>
    <row r="767">
      <c r="B767" s="145"/>
      <c r="C767" s="144"/>
      <c r="G767" s="148"/>
      <c r="H767" s="144"/>
    </row>
    <row r="768">
      <c r="B768" s="145"/>
      <c r="C768" s="144"/>
      <c r="G768" s="148"/>
      <c r="H768" s="144"/>
    </row>
    <row r="769">
      <c r="B769" s="145"/>
      <c r="C769" s="144"/>
      <c r="G769" s="148"/>
      <c r="H769" s="144"/>
    </row>
    <row r="770">
      <c r="B770" s="145"/>
      <c r="C770" s="144"/>
      <c r="G770" s="148"/>
      <c r="H770" s="144"/>
    </row>
    <row r="771">
      <c r="B771" s="145"/>
      <c r="C771" s="144"/>
      <c r="G771" s="148"/>
      <c r="H771" s="144"/>
    </row>
    <row r="772">
      <c r="B772" s="145"/>
      <c r="C772" s="144"/>
      <c r="G772" s="148"/>
      <c r="H772" s="144"/>
    </row>
    <row r="773">
      <c r="B773" s="145"/>
      <c r="C773" s="144"/>
      <c r="G773" s="148"/>
      <c r="H773" s="144"/>
    </row>
    <row r="774">
      <c r="B774" s="145"/>
      <c r="C774" s="144"/>
      <c r="G774" s="148"/>
      <c r="H774" s="144"/>
    </row>
    <row r="775">
      <c r="B775" s="145"/>
      <c r="C775" s="144"/>
      <c r="G775" s="148"/>
      <c r="H775" s="144"/>
    </row>
    <row r="776">
      <c r="B776" s="145"/>
      <c r="C776" s="144"/>
      <c r="G776" s="148"/>
      <c r="H776" s="144"/>
    </row>
    <row r="777">
      <c r="B777" s="145"/>
      <c r="C777" s="144"/>
      <c r="G777" s="148"/>
      <c r="H777" s="144"/>
    </row>
    <row r="778">
      <c r="B778" s="145"/>
      <c r="C778" s="144"/>
      <c r="G778" s="148"/>
      <c r="H778" s="144"/>
    </row>
    <row r="779">
      <c r="B779" s="145"/>
      <c r="C779" s="144"/>
      <c r="G779" s="148"/>
      <c r="H779" s="144"/>
    </row>
    <row r="780">
      <c r="B780" s="145"/>
      <c r="C780" s="144"/>
      <c r="G780" s="148"/>
      <c r="H780" s="144"/>
    </row>
    <row r="781">
      <c r="B781" s="145"/>
      <c r="C781" s="144"/>
      <c r="G781" s="148"/>
      <c r="H781" s="144"/>
    </row>
    <row r="782">
      <c r="B782" s="145"/>
      <c r="C782" s="144"/>
      <c r="G782" s="148"/>
      <c r="H782" s="144"/>
    </row>
    <row r="783">
      <c r="B783" s="145"/>
      <c r="C783" s="144"/>
      <c r="G783" s="148"/>
      <c r="H783" s="144"/>
    </row>
    <row r="784">
      <c r="B784" s="145"/>
      <c r="C784" s="144"/>
      <c r="G784" s="148"/>
      <c r="H784" s="144"/>
    </row>
    <row r="785">
      <c r="B785" s="145"/>
      <c r="C785" s="144"/>
      <c r="G785" s="148"/>
      <c r="H785" s="144"/>
    </row>
    <row r="786">
      <c r="B786" s="145"/>
      <c r="C786" s="144"/>
      <c r="G786" s="148"/>
      <c r="H786" s="144"/>
    </row>
    <row r="787">
      <c r="B787" s="145"/>
      <c r="C787" s="144"/>
      <c r="G787" s="148"/>
      <c r="H787" s="144"/>
    </row>
    <row r="788">
      <c r="B788" s="145"/>
      <c r="C788" s="144"/>
      <c r="G788" s="148"/>
      <c r="H788" s="144"/>
    </row>
    <row r="789">
      <c r="B789" s="145"/>
      <c r="C789" s="144"/>
      <c r="G789" s="148"/>
      <c r="H789" s="144"/>
    </row>
    <row r="790">
      <c r="B790" s="145"/>
      <c r="C790" s="144"/>
      <c r="G790" s="148"/>
      <c r="H790" s="144"/>
    </row>
    <row r="791">
      <c r="B791" s="145"/>
      <c r="C791" s="144"/>
      <c r="G791" s="148"/>
      <c r="H791" s="144"/>
    </row>
    <row r="792">
      <c r="B792" s="145"/>
      <c r="C792" s="144"/>
      <c r="G792" s="148"/>
      <c r="H792" s="144"/>
    </row>
    <row r="793">
      <c r="B793" s="145"/>
      <c r="C793" s="144"/>
      <c r="G793" s="148"/>
      <c r="H793" s="144"/>
    </row>
    <row r="794">
      <c r="B794" s="145"/>
      <c r="C794" s="144"/>
      <c r="G794" s="148"/>
      <c r="H794" s="144"/>
    </row>
    <row r="795">
      <c r="B795" s="145"/>
      <c r="C795" s="144"/>
      <c r="G795" s="148"/>
      <c r="H795" s="144"/>
    </row>
    <row r="796">
      <c r="B796" s="145"/>
      <c r="C796" s="144"/>
      <c r="G796" s="148"/>
      <c r="H796" s="144"/>
    </row>
    <row r="797">
      <c r="B797" s="145"/>
      <c r="C797" s="144"/>
      <c r="G797" s="148"/>
      <c r="H797" s="144"/>
    </row>
    <row r="798">
      <c r="B798" s="145"/>
      <c r="C798" s="144"/>
      <c r="G798" s="148"/>
      <c r="H798" s="144"/>
    </row>
    <row r="799">
      <c r="B799" s="145"/>
      <c r="C799" s="144"/>
      <c r="G799" s="148"/>
      <c r="H799" s="144"/>
    </row>
    <row r="800">
      <c r="B800" s="145"/>
      <c r="C800" s="144"/>
      <c r="G800" s="148"/>
      <c r="H800" s="144"/>
    </row>
    <row r="801">
      <c r="B801" s="145"/>
      <c r="C801" s="144"/>
      <c r="G801" s="148"/>
      <c r="H801" s="144"/>
    </row>
    <row r="802">
      <c r="B802" s="145"/>
      <c r="C802" s="144"/>
      <c r="G802" s="148"/>
      <c r="H802" s="144"/>
    </row>
    <row r="803">
      <c r="B803" s="145"/>
      <c r="C803" s="144"/>
      <c r="G803" s="148"/>
      <c r="H803" s="144"/>
    </row>
    <row r="804">
      <c r="B804" s="145"/>
      <c r="C804" s="144"/>
      <c r="G804" s="148"/>
      <c r="H804" s="144"/>
    </row>
    <row r="805">
      <c r="B805" s="145"/>
      <c r="C805" s="144"/>
      <c r="G805" s="148"/>
      <c r="H805" s="144"/>
    </row>
    <row r="806">
      <c r="B806" s="145"/>
      <c r="C806" s="144"/>
      <c r="G806" s="148"/>
      <c r="H806" s="144"/>
    </row>
    <row r="807">
      <c r="B807" s="145"/>
      <c r="C807" s="144"/>
      <c r="G807" s="148"/>
      <c r="H807" s="144"/>
    </row>
    <row r="808">
      <c r="B808" s="145"/>
      <c r="C808" s="144"/>
      <c r="G808" s="148"/>
      <c r="H808" s="144"/>
    </row>
    <row r="809">
      <c r="B809" s="145"/>
      <c r="C809" s="144"/>
      <c r="G809" s="148"/>
      <c r="H809" s="144"/>
    </row>
    <row r="810">
      <c r="B810" s="145"/>
      <c r="C810" s="144"/>
      <c r="G810" s="148"/>
      <c r="H810" s="144"/>
    </row>
    <row r="811">
      <c r="B811" s="145"/>
      <c r="C811" s="144"/>
      <c r="G811" s="148"/>
      <c r="H811" s="144"/>
    </row>
    <row r="812">
      <c r="B812" s="145"/>
      <c r="C812" s="144"/>
      <c r="G812" s="148"/>
      <c r="H812" s="144"/>
    </row>
    <row r="813">
      <c r="B813" s="145"/>
      <c r="C813" s="144"/>
      <c r="G813" s="148"/>
      <c r="H813" s="144"/>
    </row>
    <row r="814">
      <c r="B814" s="145"/>
      <c r="C814" s="144"/>
      <c r="G814" s="148"/>
      <c r="H814" s="144"/>
    </row>
    <row r="815">
      <c r="B815" s="145"/>
      <c r="C815" s="144"/>
      <c r="G815" s="148"/>
      <c r="H815" s="144"/>
    </row>
    <row r="816">
      <c r="B816" s="145"/>
      <c r="C816" s="144"/>
      <c r="G816" s="148"/>
      <c r="H816" s="144"/>
    </row>
    <row r="817">
      <c r="B817" s="145"/>
      <c r="C817" s="144"/>
      <c r="G817" s="148"/>
      <c r="H817" s="144"/>
    </row>
    <row r="818">
      <c r="B818" s="145"/>
      <c r="C818" s="144"/>
      <c r="G818" s="148"/>
      <c r="H818" s="144"/>
    </row>
    <row r="819">
      <c r="B819" s="145"/>
      <c r="C819" s="144"/>
      <c r="G819" s="148"/>
      <c r="H819" s="144"/>
    </row>
    <row r="820">
      <c r="B820" s="145"/>
      <c r="C820" s="144"/>
      <c r="G820" s="148"/>
      <c r="H820" s="144"/>
    </row>
    <row r="821">
      <c r="B821" s="145"/>
      <c r="C821" s="144"/>
      <c r="G821" s="148"/>
      <c r="H821" s="144"/>
    </row>
    <row r="822">
      <c r="B822" s="145"/>
      <c r="C822" s="144"/>
      <c r="G822" s="148"/>
      <c r="H822" s="144"/>
    </row>
    <row r="823">
      <c r="B823" s="145"/>
      <c r="C823" s="144"/>
      <c r="G823" s="148"/>
      <c r="H823" s="144"/>
    </row>
    <row r="824">
      <c r="B824" s="145"/>
      <c r="C824" s="144"/>
      <c r="G824" s="148"/>
      <c r="H824" s="144"/>
    </row>
    <row r="825">
      <c r="B825" s="145"/>
      <c r="C825" s="144"/>
      <c r="G825" s="148"/>
      <c r="H825" s="144"/>
    </row>
    <row r="826">
      <c r="B826" s="145"/>
      <c r="C826" s="144"/>
      <c r="G826" s="148"/>
      <c r="H826" s="144"/>
    </row>
    <row r="827">
      <c r="B827" s="145"/>
      <c r="C827" s="144"/>
      <c r="G827" s="148"/>
      <c r="H827" s="144"/>
    </row>
    <row r="828">
      <c r="B828" s="145"/>
      <c r="C828" s="144"/>
      <c r="G828" s="148"/>
      <c r="H828" s="144"/>
    </row>
    <row r="829">
      <c r="B829" s="145"/>
      <c r="C829" s="144"/>
      <c r="G829" s="148"/>
      <c r="H829" s="144"/>
    </row>
    <row r="830">
      <c r="B830" s="145"/>
      <c r="C830" s="144"/>
      <c r="G830" s="148"/>
      <c r="H830" s="144"/>
    </row>
    <row r="831">
      <c r="B831" s="145"/>
      <c r="C831" s="144"/>
      <c r="G831" s="148"/>
      <c r="H831" s="144"/>
    </row>
    <row r="832">
      <c r="B832" s="145"/>
      <c r="C832" s="144"/>
      <c r="G832" s="148"/>
      <c r="H832" s="144"/>
    </row>
    <row r="833">
      <c r="B833" s="145"/>
      <c r="C833" s="144"/>
      <c r="G833" s="148"/>
      <c r="H833" s="144"/>
    </row>
    <row r="834">
      <c r="B834" s="145"/>
      <c r="C834" s="144"/>
      <c r="G834" s="148"/>
      <c r="H834" s="144"/>
    </row>
    <row r="835">
      <c r="B835" s="145"/>
      <c r="C835" s="144"/>
      <c r="G835" s="148"/>
      <c r="H835" s="144"/>
    </row>
    <row r="836">
      <c r="B836" s="145"/>
      <c r="C836" s="144"/>
      <c r="G836" s="148"/>
      <c r="H836" s="144"/>
    </row>
    <row r="837">
      <c r="B837" s="145"/>
      <c r="C837" s="144"/>
      <c r="G837" s="148"/>
      <c r="H837" s="144"/>
    </row>
    <row r="838">
      <c r="B838" s="145"/>
      <c r="C838" s="144"/>
      <c r="G838" s="148"/>
      <c r="H838" s="144"/>
    </row>
    <row r="839">
      <c r="B839" s="145"/>
      <c r="C839" s="144"/>
      <c r="G839" s="148"/>
      <c r="H839" s="144"/>
    </row>
    <row r="840">
      <c r="B840" s="145"/>
      <c r="C840" s="144"/>
      <c r="G840" s="148"/>
      <c r="H840" s="144"/>
    </row>
    <row r="841">
      <c r="B841" s="145"/>
      <c r="C841" s="144"/>
      <c r="G841" s="148"/>
      <c r="H841" s="144"/>
    </row>
    <row r="842">
      <c r="B842" s="145"/>
      <c r="C842" s="144"/>
      <c r="G842" s="148"/>
      <c r="H842" s="144"/>
    </row>
    <row r="843">
      <c r="B843" s="145"/>
      <c r="C843" s="144"/>
      <c r="G843" s="148"/>
      <c r="H843" s="144"/>
    </row>
    <row r="844">
      <c r="B844" s="145"/>
      <c r="C844" s="144"/>
      <c r="G844" s="148"/>
      <c r="H844" s="144"/>
    </row>
    <row r="845">
      <c r="B845" s="145"/>
      <c r="C845" s="144"/>
      <c r="G845" s="148"/>
      <c r="H845" s="144"/>
    </row>
    <row r="846">
      <c r="B846" s="145"/>
      <c r="C846" s="144"/>
      <c r="G846" s="148"/>
      <c r="H846" s="144"/>
    </row>
    <row r="847">
      <c r="B847" s="145"/>
      <c r="C847" s="144"/>
      <c r="G847" s="148"/>
      <c r="H847" s="144"/>
    </row>
    <row r="848">
      <c r="B848" s="145"/>
      <c r="C848" s="144"/>
      <c r="G848" s="148"/>
      <c r="H848" s="144"/>
    </row>
    <row r="849">
      <c r="B849" s="145"/>
      <c r="C849" s="144"/>
      <c r="G849" s="148"/>
      <c r="H849" s="144"/>
    </row>
    <row r="850">
      <c r="B850" s="145"/>
      <c r="C850" s="144"/>
      <c r="G850" s="148"/>
      <c r="H850" s="144"/>
    </row>
    <row r="851">
      <c r="B851" s="145"/>
      <c r="C851" s="144"/>
      <c r="G851" s="148"/>
      <c r="H851" s="144"/>
    </row>
    <row r="852">
      <c r="B852" s="145"/>
      <c r="C852" s="144"/>
      <c r="G852" s="148"/>
      <c r="H852" s="144"/>
    </row>
    <row r="853">
      <c r="B853" s="145"/>
      <c r="C853" s="144"/>
      <c r="G853" s="148"/>
      <c r="H853" s="144"/>
    </row>
    <row r="854">
      <c r="B854" s="145"/>
      <c r="C854" s="144"/>
      <c r="G854" s="148"/>
      <c r="H854" s="144"/>
    </row>
    <row r="855">
      <c r="B855" s="145"/>
      <c r="C855" s="144"/>
      <c r="G855" s="148"/>
      <c r="H855" s="144"/>
    </row>
    <row r="856">
      <c r="B856" s="145"/>
      <c r="C856" s="144"/>
      <c r="G856" s="148"/>
      <c r="H856" s="144"/>
    </row>
    <row r="857">
      <c r="B857" s="145"/>
      <c r="C857" s="144"/>
      <c r="G857" s="148"/>
      <c r="H857" s="144"/>
    </row>
    <row r="858">
      <c r="B858" s="145"/>
      <c r="C858" s="144"/>
      <c r="G858" s="148"/>
      <c r="H858" s="144"/>
    </row>
    <row r="859">
      <c r="B859" s="145"/>
      <c r="C859" s="144"/>
      <c r="G859" s="148"/>
      <c r="H859" s="144"/>
    </row>
    <row r="860">
      <c r="B860" s="145"/>
      <c r="C860" s="144"/>
      <c r="G860" s="148"/>
      <c r="H860" s="144"/>
    </row>
    <row r="861">
      <c r="B861" s="145"/>
      <c r="C861" s="144"/>
      <c r="G861" s="148"/>
      <c r="H861" s="144"/>
    </row>
    <row r="862">
      <c r="B862" s="145"/>
      <c r="C862" s="144"/>
      <c r="G862" s="148"/>
      <c r="H862" s="144"/>
    </row>
    <row r="863">
      <c r="B863" s="145"/>
      <c r="C863" s="144"/>
      <c r="G863" s="148"/>
      <c r="H863" s="144"/>
    </row>
    <row r="864">
      <c r="B864" s="145"/>
      <c r="C864" s="144"/>
      <c r="G864" s="148"/>
      <c r="H864" s="144"/>
    </row>
    <row r="865">
      <c r="B865" s="145"/>
      <c r="C865" s="144"/>
      <c r="G865" s="148"/>
      <c r="H865" s="144"/>
    </row>
    <row r="866">
      <c r="B866" s="145"/>
      <c r="C866" s="144"/>
      <c r="G866" s="148"/>
      <c r="H866" s="144"/>
    </row>
    <row r="867">
      <c r="B867" s="145"/>
      <c r="C867" s="144"/>
      <c r="G867" s="148"/>
      <c r="H867" s="144"/>
    </row>
    <row r="868">
      <c r="B868" s="145"/>
      <c r="C868" s="144"/>
      <c r="G868" s="148"/>
      <c r="H868" s="144"/>
    </row>
    <row r="869">
      <c r="B869" s="145"/>
      <c r="C869" s="144"/>
      <c r="G869" s="148"/>
      <c r="H869" s="144"/>
    </row>
    <row r="870">
      <c r="B870" s="145"/>
      <c r="C870" s="144"/>
      <c r="G870" s="148"/>
      <c r="H870" s="144"/>
    </row>
    <row r="871">
      <c r="B871" s="145"/>
      <c r="C871" s="144"/>
      <c r="G871" s="148"/>
      <c r="H871" s="144"/>
    </row>
    <row r="872">
      <c r="B872" s="145"/>
      <c r="C872" s="144"/>
      <c r="G872" s="148"/>
      <c r="H872" s="144"/>
    </row>
    <row r="873">
      <c r="B873" s="145"/>
      <c r="C873" s="144"/>
      <c r="G873" s="148"/>
      <c r="H873" s="144"/>
    </row>
    <row r="874">
      <c r="B874" s="145"/>
      <c r="C874" s="144"/>
      <c r="G874" s="148"/>
      <c r="H874" s="144"/>
    </row>
    <row r="875">
      <c r="B875" s="145"/>
      <c r="C875" s="144"/>
      <c r="G875" s="148"/>
      <c r="H875" s="144"/>
    </row>
    <row r="876">
      <c r="B876" s="145"/>
      <c r="C876" s="144"/>
      <c r="G876" s="148"/>
      <c r="H876" s="144"/>
    </row>
    <row r="877">
      <c r="B877" s="145"/>
      <c r="C877" s="144"/>
      <c r="G877" s="148"/>
      <c r="H877" s="144"/>
    </row>
    <row r="878">
      <c r="B878" s="145"/>
      <c r="C878" s="144"/>
      <c r="G878" s="148"/>
      <c r="H878" s="144"/>
    </row>
    <row r="879">
      <c r="B879" s="145"/>
      <c r="C879" s="144"/>
      <c r="G879" s="148"/>
      <c r="H879" s="144"/>
    </row>
    <row r="880">
      <c r="B880" s="145"/>
      <c r="C880" s="144"/>
      <c r="G880" s="148"/>
      <c r="H880" s="144"/>
    </row>
    <row r="881">
      <c r="B881" s="145"/>
      <c r="C881" s="144"/>
      <c r="G881" s="148"/>
      <c r="H881" s="144"/>
    </row>
    <row r="882">
      <c r="B882" s="145"/>
      <c r="C882" s="144"/>
      <c r="G882" s="148"/>
      <c r="H882" s="144"/>
    </row>
    <row r="883">
      <c r="B883" s="145"/>
      <c r="C883" s="144"/>
      <c r="G883" s="148"/>
      <c r="H883" s="144"/>
    </row>
    <row r="884">
      <c r="B884" s="145"/>
      <c r="C884" s="144"/>
      <c r="G884" s="148"/>
      <c r="H884" s="144"/>
    </row>
    <row r="885">
      <c r="B885" s="145"/>
      <c r="C885" s="144"/>
      <c r="G885" s="148"/>
      <c r="H885" s="144"/>
    </row>
    <row r="886">
      <c r="B886" s="145"/>
      <c r="C886" s="144"/>
      <c r="G886" s="148"/>
      <c r="H886" s="144"/>
    </row>
    <row r="887">
      <c r="B887" s="145"/>
      <c r="C887" s="144"/>
      <c r="G887" s="148"/>
      <c r="H887" s="144"/>
    </row>
    <row r="888">
      <c r="B888" s="145"/>
      <c r="C888" s="144"/>
      <c r="G888" s="148"/>
      <c r="H888" s="144"/>
    </row>
    <row r="889">
      <c r="B889" s="145"/>
      <c r="C889" s="144"/>
      <c r="G889" s="148"/>
      <c r="H889" s="144"/>
    </row>
    <row r="890">
      <c r="B890" s="145"/>
      <c r="C890" s="144"/>
      <c r="G890" s="148"/>
      <c r="H890" s="144"/>
    </row>
    <row r="891">
      <c r="B891" s="145"/>
      <c r="C891" s="144"/>
      <c r="G891" s="148"/>
      <c r="H891" s="144"/>
    </row>
    <row r="892">
      <c r="B892" s="145"/>
      <c r="C892" s="144"/>
      <c r="G892" s="148"/>
      <c r="H892" s="144"/>
    </row>
    <row r="893">
      <c r="B893" s="145"/>
      <c r="C893" s="144"/>
      <c r="G893" s="148"/>
      <c r="H893" s="144"/>
    </row>
    <row r="894">
      <c r="B894" s="145"/>
      <c r="C894" s="144"/>
      <c r="G894" s="148"/>
      <c r="H894" s="144"/>
    </row>
    <row r="895">
      <c r="B895" s="145"/>
      <c r="C895" s="144"/>
      <c r="G895" s="148"/>
      <c r="H895" s="144"/>
    </row>
    <row r="896">
      <c r="B896" s="145"/>
      <c r="C896" s="144"/>
      <c r="G896" s="148"/>
      <c r="H896" s="144"/>
    </row>
    <row r="897">
      <c r="B897" s="145"/>
      <c r="C897" s="144"/>
      <c r="G897" s="148"/>
      <c r="H897" s="144"/>
    </row>
    <row r="898">
      <c r="B898" s="145"/>
      <c r="C898" s="144"/>
      <c r="G898" s="148"/>
      <c r="H898" s="144"/>
    </row>
    <row r="899">
      <c r="B899" s="145"/>
      <c r="C899" s="144"/>
      <c r="G899" s="148"/>
      <c r="H899" s="144"/>
    </row>
    <row r="900">
      <c r="B900" s="145"/>
      <c r="C900" s="144"/>
      <c r="G900" s="148"/>
      <c r="H900" s="144"/>
    </row>
    <row r="901">
      <c r="B901" s="145"/>
      <c r="C901" s="144"/>
      <c r="G901" s="148"/>
      <c r="H901" s="144"/>
    </row>
    <row r="902">
      <c r="B902" s="145"/>
      <c r="C902" s="144"/>
      <c r="G902" s="148"/>
      <c r="H902" s="144"/>
    </row>
    <row r="903">
      <c r="B903" s="145"/>
      <c r="C903" s="144"/>
      <c r="G903" s="148"/>
      <c r="H903" s="144"/>
    </row>
    <row r="904">
      <c r="B904" s="145"/>
      <c r="C904" s="144"/>
      <c r="G904" s="148"/>
      <c r="H904" s="144"/>
    </row>
    <row r="905">
      <c r="B905" s="145"/>
      <c r="C905" s="144"/>
      <c r="G905" s="148"/>
      <c r="H905" s="144"/>
    </row>
    <row r="906">
      <c r="B906" s="145"/>
      <c r="C906" s="144"/>
      <c r="G906" s="148"/>
      <c r="H906" s="144"/>
    </row>
    <row r="907">
      <c r="B907" s="145"/>
      <c r="C907" s="144"/>
      <c r="G907" s="148"/>
      <c r="H907" s="144"/>
    </row>
    <row r="908">
      <c r="B908" s="145"/>
      <c r="C908" s="144"/>
      <c r="G908" s="148"/>
      <c r="H908" s="144"/>
    </row>
    <row r="909">
      <c r="B909" s="145"/>
      <c r="C909" s="144"/>
      <c r="G909" s="148"/>
      <c r="H909" s="144"/>
    </row>
    <row r="910">
      <c r="B910" s="145"/>
      <c r="C910" s="144"/>
      <c r="G910" s="148"/>
      <c r="H910" s="144"/>
    </row>
    <row r="911">
      <c r="B911" s="145"/>
      <c r="C911" s="144"/>
      <c r="G911" s="148"/>
      <c r="H911" s="144"/>
    </row>
    <row r="912">
      <c r="B912" s="145"/>
      <c r="C912" s="144"/>
      <c r="G912" s="148"/>
      <c r="H912" s="144"/>
    </row>
    <row r="913">
      <c r="B913" s="145"/>
      <c r="C913" s="144"/>
      <c r="G913" s="148"/>
      <c r="H913" s="144"/>
    </row>
    <row r="914">
      <c r="B914" s="145"/>
      <c r="C914" s="144"/>
      <c r="G914" s="148"/>
      <c r="H914" s="144"/>
    </row>
    <row r="915">
      <c r="B915" s="145"/>
      <c r="C915" s="144"/>
      <c r="G915" s="148"/>
      <c r="H915" s="144"/>
    </row>
    <row r="916">
      <c r="B916" s="145"/>
      <c r="C916" s="144"/>
      <c r="G916" s="148"/>
      <c r="H916" s="144"/>
    </row>
    <row r="917">
      <c r="B917" s="145"/>
      <c r="C917" s="144"/>
      <c r="G917" s="148"/>
      <c r="H917" s="144"/>
    </row>
    <row r="918">
      <c r="B918" s="145"/>
      <c r="C918" s="144"/>
      <c r="G918" s="148"/>
      <c r="H918" s="144"/>
    </row>
    <row r="919">
      <c r="B919" s="145"/>
      <c r="C919" s="144"/>
      <c r="G919" s="148"/>
      <c r="H919" s="144"/>
    </row>
    <row r="920">
      <c r="B920" s="145"/>
      <c r="C920" s="144"/>
      <c r="G920" s="148"/>
      <c r="H920" s="144"/>
    </row>
    <row r="921">
      <c r="B921" s="145"/>
      <c r="C921" s="144"/>
      <c r="G921" s="148"/>
      <c r="H921" s="144"/>
    </row>
    <row r="922">
      <c r="B922" s="145"/>
      <c r="C922" s="144"/>
      <c r="G922" s="148"/>
      <c r="H922" s="144"/>
    </row>
    <row r="923">
      <c r="B923" s="145"/>
      <c r="C923" s="144"/>
      <c r="G923" s="148"/>
      <c r="H923" s="144"/>
    </row>
    <row r="924">
      <c r="B924" s="145"/>
      <c r="C924" s="144"/>
      <c r="G924" s="148"/>
      <c r="H924" s="144"/>
    </row>
    <row r="925">
      <c r="B925" s="145"/>
      <c r="C925" s="144"/>
      <c r="G925" s="148"/>
      <c r="H925" s="144"/>
    </row>
    <row r="926">
      <c r="B926" s="145"/>
      <c r="C926" s="144"/>
      <c r="G926" s="148"/>
      <c r="H926" s="144"/>
    </row>
    <row r="927">
      <c r="B927" s="145"/>
      <c r="C927" s="144"/>
      <c r="G927" s="148"/>
      <c r="H927" s="144"/>
    </row>
    <row r="928">
      <c r="B928" s="145"/>
      <c r="C928" s="144"/>
      <c r="G928" s="148"/>
      <c r="H928" s="144"/>
    </row>
    <row r="929">
      <c r="B929" s="145"/>
      <c r="C929" s="144"/>
      <c r="G929" s="148"/>
      <c r="H929" s="144"/>
    </row>
    <row r="930">
      <c r="B930" s="145"/>
      <c r="C930" s="144"/>
      <c r="G930" s="148"/>
      <c r="H930" s="144"/>
    </row>
    <row r="931">
      <c r="B931" s="145"/>
      <c r="C931" s="144"/>
      <c r="G931" s="148"/>
      <c r="H931" s="144"/>
    </row>
    <row r="932">
      <c r="B932" s="145"/>
      <c r="C932" s="144"/>
      <c r="G932" s="148"/>
      <c r="H932" s="144"/>
    </row>
    <row r="933">
      <c r="B933" s="145"/>
      <c r="C933" s="144"/>
      <c r="G933" s="148"/>
      <c r="H933" s="144"/>
    </row>
    <row r="934">
      <c r="B934" s="145"/>
      <c r="C934" s="144"/>
      <c r="G934" s="148"/>
      <c r="H934" s="144"/>
    </row>
    <row r="935">
      <c r="B935" s="145"/>
      <c r="C935" s="144"/>
      <c r="G935" s="148"/>
      <c r="H935" s="144"/>
    </row>
    <row r="936">
      <c r="B936" s="145"/>
      <c r="C936" s="144"/>
      <c r="G936" s="148"/>
      <c r="H936" s="144"/>
    </row>
    <row r="937">
      <c r="B937" s="145"/>
      <c r="C937" s="144"/>
      <c r="G937" s="148"/>
      <c r="H937" s="144"/>
    </row>
    <row r="938">
      <c r="B938" s="145"/>
      <c r="C938" s="144"/>
      <c r="G938" s="148"/>
      <c r="H938" s="144"/>
    </row>
    <row r="939">
      <c r="B939" s="145"/>
      <c r="C939" s="144"/>
      <c r="G939" s="148"/>
      <c r="H939" s="144"/>
    </row>
    <row r="940">
      <c r="B940" s="145"/>
      <c r="C940" s="144"/>
      <c r="G940" s="148"/>
      <c r="H940" s="144"/>
    </row>
    <row r="941">
      <c r="B941" s="145"/>
      <c r="C941" s="144"/>
      <c r="G941" s="148"/>
      <c r="H941" s="144"/>
    </row>
    <row r="942">
      <c r="B942" s="145"/>
      <c r="C942" s="144"/>
      <c r="G942" s="148"/>
      <c r="H942" s="144"/>
    </row>
    <row r="943">
      <c r="B943" s="145"/>
      <c r="C943" s="144"/>
      <c r="G943" s="148"/>
      <c r="H943" s="144"/>
    </row>
    <row r="944">
      <c r="B944" s="145"/>
      <c r="C944" s="144"/>
      <c r="G944" s="148"/>
      <c r="H944" s="144"/>
    </row>
    <row r="945">
      <c r="B945" s="145"/>
      <c r="C945" s="144"/>
      <c r="G945" s="148"/>
      <c r="H945" s="144"/>
    </row>
    <row r="946">
      <c r="B946" s="145"/>
      <c r="C946" s="144"/>
      <c r="G946" s="148"/>
      <c r="H946" s="144"/>
    </row>
    <row r="947">
      <c r="B947" s="145"/>
      <c r="C947" s="144"/>
      <c r="G947" s="148"/>
      <c r="H947" s="144"/>
    </row>
    <row r="948">
      <c r="B948" s="145"/>
      <c r="C948" s="144"/>
      <c r="G948" s="148"/>
      <c r="H948" s="144"/>
    </row>
    <row r="949">
      <c r="B949" s="145"/>
      <c r="C949" s="144"/>
      <c r="G949" s="148"/>
      <c r="H949" s="144"/>
    </row>
    <row r="950">
      <c r="B950" s="145"/>
      <c r="C950" s="144"/>
      <c r="G950" s="148"/>
      <c r="H950" s="144"/>
    </row>
    <row r="951">
      <c r="B951" s="145"/>
      <c r="C951" s="144"/>
      <c r="G951" s="148"/>
      <c r="H951" s="144"/>
    </row>
    <row r="952">
      <c r="B952" s="145"/>
      <c r="C952" s="144"/>
      <c r="G952" s="148"/>
      <c r="H952" s="144"/>
    </row>
    <row r="953">
      <c r="B953" s="145"/>
      <c r="C953" s="144"/>
      <c r="G953" s="148"/>
      <c r="H953" s="144"/>
    </row>
    <row r="954">
      <c r="B954" s="145"/>
      <c r="C954" s="144"/>
      <c r="G954" s="148"/>
      <c r="H954" s="144"/>
    </row>
    <row r="955">
      <c r="B955" s="145"/>
      <c r="C955" s="144"/>
      <c r="G955" s="148"/>
      <c r="H955" s="144"/>
    </row>
    <row r="956">
      <c r="B956" s="145"/>
      <c r="C956" s="144"/>
      <c r="G956" s="148"/>
      <c r="H956" s="144"/>
    </row>
    <row r="957">
      <c r="B957" s="145"/>
      <c r="C957" s="144"/>
      <c r="G957" s="148"/>
      <c r="H957" s="144"/>
    </row>
    <row r="958">
      <c r="B958" s="145"/>
      <c r="C958" s="144"/>
      <c r="G958" s="148"/>
      <c r="H958" s="144"/>
    </row>
    <row r="959">
      <c r="B959" s="145"/>
      <c r="C959" s="144"/>
      <c r="G959" s="148"/>
      <c r="H959" s="144"/>
    </row>
    <row r="960">
      <c r="B960" s="145"/>
      <c r="C960" s="144"/>
      <c r="G960" s="148"/>
      <c r="H960" s="144"/>
    </row>
    <row r="961">
      <c r="B961" s="145"/>
      <c r="C961" s="144"/>
      <c r="G961" s="148"/>
      <c r="H961" s="144"/>
    </row>
    <row r="962">
      <c r="B962" s="145"/>
      <c r="C962" s="144"/>
      <c r="G962" s="148"/>
      <c r="H962" s="144"/>
    </row>
    <row r="963">
      <c r="B963" s="145"/>
      <c r="C963" s="144"/>
      <c r="G963" s="148"/>
      <c r="H963" s="144"/>
    </row>
    <row r="964">
      <c r="B964" s="145"/>
      <c r="C964" s="144"/>
      <c r="G964" s="148"/>
      <c r="H964" s="144"/>
    </row>
    <row r="965">
      <c r="B965" s="145"/>
      <c r="C965" s="144"/>
      <c r="G965" s="148"/>
      <c r="H965" s="144"/>
    </row>
    <row r="966">
      <c r="B966" s="145"/>
      <c r="C966" s="144"/>
      <c r="G966" s="148"/>
      <c r="H966" s="144"/>
    </row>
    <row r="967">
      <c r="B967" s="145"/>
      <c r="C967" s="144"/>
      <c r="G967" s="148"/>
      <c r="H967" s="144"/>
    </row>
    <row r="968">
      <c r="B968" s="145"/>
      <c r="C968" s="144"/>
      <c r="G968" s="148"/>
      <c r="H968" s="144"/>
    </row>
    <row r="969">
      <c r="B969" s="145"/>
      <c r="C969" s="144"/>
      <c r="G969" s="148"/>
      <c r="H969" s="144"/>
    </row>
    <row r="970">
      <c r="B970" s="145"/>
      <c r="C970" s="144"/>
      <c r="G970" s="148"/>
      <c r="H970" s="144"/>
    </row>
    <row r="971">
      <c r="B971" s="145"/>
      <c r="C971" s="144"/>
      <c r="G971" s="148"/>
      <c r="H971" s="144"/>
    </row>
    <row r="972">
      <c r="B972" s="145"/>
      <c r="C972" s="144"/>
      <c r="G972" s="148"/>
      <c r="H972" s="144"/>
    </row>
    <row r="973">
      <c r="B973" s="145"/>
      <c r="C973" s="144"/>
      <c r="G973" s="148"/>
      <c r="H973" s="144"/>
    </row>
    <row r="974">
      <c r="B974" s="145"/>
      <c r="C974" s="144"/>
      <c r="G974" s="148"/>
      <c r="H974" s="144"/>
    </row>
    <row r="975">
      <c r="B975" s="145"/>
      <c r="C975" s="144"/>
      <c r="G975" s="148"/>
      <c r="H975" s="144"/>
    </row>
    <row r="976">
      <c r="B976" s="145"/>
      <c r="C976" s="144"/>
      <c r="G976" s="148"/>
      <c r="H976" s="144"/>
    </row>
    <row r="977">
      <c r="B977" s="145"/>
      <c r="C977" s="144"/>
      <c r="G977" s="148"/>
      <c r="H977" s="144"/>
    </row>
    <row r="978">
      <c r="B978" s="145"/>
      <c r="C978" s="144"/>
      <c r="G978" s="148"/>
      <c r="H978" s="144"/>
    </row>
    <row r="979">
      <c r="B979" s="145"/>
      <c r="C979" s="144"/>
      <c r="G979" s="148"/>
      <c r="H979" s="144"/>
    </row>
    <row r="980">
      <c r="B980" s="145"/>
      <c r="C980" s="144"/>
      <c r="G980" s="148"/>
      <c r="H980" s="144"/>
    </row>
    <row r="981">
      <c r="B981" s="145"/>
      <c r="C981" s="144"/>
      <c r="G981" s="148"/>
      <c r="H981" s="144"/>
    </row>
    <row r="982">
      <c r="B982" s="145"/>
      <c r="C982" s="144"/>
      <c r="G982" s="148"/>
      <c r="H982" s="144"/>
    </row>
    <row r="983">
      <c r="B983" s="145"/>
      <c r="C983" s="144"/>
      <c r="G983" s="148"/>
      <c r="H983" s="144"/>
    </row>
    <row r="984">
      <c r="B984" s="145"/>
      <c r="C984" s="144"/>
      <c r="G984" s="148"/>
      <c r="H984" s="144"/>
    </row>
    <row r="985">
      <c r="B985" s="145"/>
      <c r="C985" s="144"/>
      <c r="G985" s="148"/>
      <c r="H985" s="144"/>
    </row>
    <row r="986">
      <c r="B986" s="145"/>
      <c r="C986" s="144"/>
      <c r="G986" s="148"/>
      <c r="H986" s="144"/>
    </row>
    <row r="987">
      <c r="B987" s="145"/>
      <c r="C987" s="144"/>
      <c r="G987" s="148"/>
      <c r="H987" s="144"/>
    </row>
    <row r="988">
      <c r="B988" s="145"/>
      <c r="C988" s="144"/>
      <c r="G988" s="148"/>
      <c r="H988" s="144"/>
    </row>
    <row r="989">
      <c r="B989" s="145"/>
      <c r="C989" s="144"/>
      <c r="G989" s="148"/>
      <c r="H989" s="144"/>
    </row>
    <row r="990">
      <c r="B990" s="145"/>
      <c r="C990" s="144"/>
      <c r="G990" s="148"/>
      <c r="H990" s="144"/>
    </row>
    <row r="991">
      <c r="B991" s="145"/>
      <c r="C991" s="144"/>
      <c r="G991" s="148"/>
      <c r="H991" s="144"/>
    </row>
    <row r="992">
      <c r="B992" s="145"/>
      <c r="C992" s="144"/>
      <c r="G992" s="148"/>
      <c r="H992" s="144"/>
    </row>
    <row r="993">
      <c r="B993" s="145"/>
      <c r="C993" s="144"/>
      <c r="G993" s="148"/>
      <c r="H993" s="144"/>
    </row>
    <row r="994">
      <c r="B994" s="145"/>
      <c r="C994" s="144"/>
      <c r="G994" s="148"/>
      <c r="H994" s="144"/>
    </row>
    <row r="995">
      <c r="B995" s="145"/>
      <c r="C995" s="144"/>
      <c r="G995" s="148"/>
      <c r="H995" s="144"/>
    </row>
    <row r="996">
      <c r="B996" s="145"/>
      <c r="C996" s="144"/>
      <c r="G996" s="148"/>
      <c r="H996" s="144"/>
    </row>
    <row r="997">
      <c r="B997" s="145"/>
      <c r="C997" s="144"/>
      <c r="G997" s="148"/>
      <c r="H997" s="144"/>
    </row>
    <row r="998">
      <c r="B998" s="145"/>
      <c r="C998" s="144"/>
      <c r="G998" s="148"/>
      <c r="H998" s="144"/>
    </row>
    <row r="999">
      <c r="B999" s="145"/>
      <c r="C999" s="144"/>
      <c r="G999" s="148"/>
      <c r="H999" s="144"/>
    </row>
    <row r="1000">
      <c r="B1000" s="145"/>
      <c r="C1000" s="144"/>
      <c r="G1000" s="148"/>
      <c r="H1000" s="144"/>
    </row>
    <row r="1001">
      <c r="B1001" s="145"/>
      <c r="C1001" s="144"/>
      <c r="G1001" s="148"/>
      <c r="H1001" s="144"/>
    </row>
    <row r="1002">
      <c r="B1002" s="145"/>
      <c r="C1002" s="144"/>
      <c r="G1002" s="148"/>
      <c r="H1002" s="144"/>
    </row>
    <row r="1003">
      <c r="B1003" s="145"/>
      <c r="C1003" s="144"/>
      <c r="G1003" s="148"/>
      <c r="H1003" s="144"/>
    </row>
    <row r="1004">
      <c r="B1004" s="145"/>
      <c r="C1004" s="144"/>
      <c r="G1004" s="148"/>
      <c r="H1004" s="144"/>
    </row>
    <row r="1005">
      <c r="B1005" s="145"/>
      <c r="C1005" s="144"/>
      <c r="G1005" s="148"/>
      <c r="H1005" s="144"/>
    </row>
    <row r="1006">
      <c r="B1006" s="145"/>
      <c r="C1006" s="144"/>
      <c r="G1006" s="148"/>
      <c r="H1006" s="144"/>
    </row>
    <row r="1007">
      <c r="B1007" s="145"/>
      <c r="C1007" s="144"/>
      <c r="G1007" s="148"/>
      <c r="H1007" s="144"/>
    </row>
    <row r="1008">
      <c r="B1008" s="145"/>
      <c r="C1008" s="144"/>
      <c r="G1008" s="148"/>
      <c r="H1008" s="144"/>
    </row>
    <row r="1009">
      <c r="B1009" s="145"/>
      <c r="C1009" s="144"/>
      <c r="G1009" s="148"/>
      <c r="H1009" s="144"/>
    </row>
    <row r="1010">
      <c r="B1010" s="145"/>
      <c r="C1010" s="144"/>
      <c r="G1010" s="148"/>
      <c r="H1010" s="144"/>
    </row>
    <row r="1011">
      <c r="B1011" s="145"/>
      <c r="C1011" s="144"/>
      <c r="G1011" s="148"/>
      <c r="H1011" s="144"/>
    </row>
    <row r="1012">
      <c r="B1012" s="145"/>
      <c r="C1012" s="144"/>
      <c r="G1012" s="148"/>
      <c r="H1012" s="144"/>
    </row>
    <row r="1013">
      <c r="B1013" s="145"/>
      <c r="C1013" s="144"/>
      <c r="G1013" s="148"/>
      <c r="H1013" s="144"/>
    </row>
    <row r="1014">
      <c r="B1014" s="145"/>
      <c r="C1014" s="144"/>
      <c r="G1014" s="148"/>
      <c r="H1014" s="144"/>
    </row>
    <row r="1015">
      <c r="B1015" s="145"/>
      <c r="C1015" s="144"/>
      <c r="G1015" s="148"/>
      <c r="H1015" s="144"/>
    </row>
    <row r="1016">
      <c r="B1016" s="145"/>
      <c r="C1016" s="144"/>
      <c r="G1016" s="148"/>
      <c r="H1016" s="144"/>
    </row>
    <row r="1017">
      <c r="B1017" s="145"/>
      <c r="C1017" s="144"/>
      <c r="G1017" s="148"/>
      <c r="H1017" s="144"/>
    </row>
    <row r="1018">
      <c r="B1018" s="145"/>
      <c r="C1018" s="144"/>
      <c r="G1018" s="148"/>
      <c r="H1018" s="144"/>
    </row>
    <row r="1019">
      <c r="B1019" s="145"/>
      <c r="C1019" s="144"/>
      <c r="G1019" s="148"/>
      <c r="H1019" s="144"/>
    </row>
    <row r="1020">
      <c r="B1020" s="145"/>
      <c r="C1020" s="144"/>
      <c r="G1020" s="148"/>
      <c r="H1020" s="144"/>
    </row>
    <row r="1021">
      <c r="B1021" s="145"/>
      <c r="C1021" s="144"/>
      <c r="G1021" s="148"/>
      <c r="H1021" s="144"/>
    </row>
    <row r="1022">
      <c r="B1022" s="145"/>
      <c r="C1022" s="144"/>
      <c r="G1022" s="148"/>
      <c r="H1022" s="144"/>
    </row>
    <row r="1023">
      <c r="B1023" s="145"/>
      <c r="C1023" s="144"/>
      <c r="G1023" s="148"/>
      <c r="H1023" s="144"/>
    </row>
    <row r="1024">
      <c r="B1024" s="145"/>
      <c r="C1024" s="144"/>
      <c r="G1024" s="148"/>
      <c r="H1024" s="144"/>
    </row>
    <row r="1025">
      <c r="B1025" s="145"/>
      <c r="C1025" s="144"/>
      <c r="G1025" s="148"/>
      <c r="H1025" s="144"/>
    </row>
    <row r="1026">
      <c r="B1026" s="145"/>
      <c r="C1026" s="144"/>
      <c r="G1026" s="148"/>
      <c r="H1026" s="144"/>
    </row>
    <row r="1027">
      <c r="B1027" s="145"/>
      <c r="C1027" s="144"/>
      <c r="G1027" s="148"/>
      <c r="H1027" s="144"/>
    </row>
    <row r="1028">
      <c r="B1028" s="145"/>
      <c r="C1028" s="144"/>
      <c r="G1028" s="148"/>
      <c r="H1028" s="144"/>
    </row>
    <row r="1029">
      <c r="B1029" s="145"/>
      <c r="C1029" s="144"/>
      <c r="G1029" s="148"/>
      <c r="H1029" s="144"/>
    </row>
    <row r="1030">
      <c r="B1030" s="145"/>
      <c r="C1030" s="144"/>
      <c r="G1030" s="148"/>
      <c r="H1030" s="144"/>
    </row>
    <row r="1031">
      <c r="B1031" s="145"/>
      <c r="C1031" s="144"/>
      <c r="G1031" s="148"/>
      <c r="H1031" s="144"/>
    </row>
    <row r="1032">
      <c r="B1032" s="145"/>
      <c r="C1032" s="144"/>
      <c r="G1032" s="148"/>
      <c r="H1032" s="144"/>
    </row>
    <row r="1033">
      <c r="B1033" s="145"/>
      <c r="C1033" s="144"/>
      <c r="G1033" s="148"/>
      <c r="H1033" s="144"/>
    </row>
    <row r="1034">
      <c r="B1034" s="145"/>
      <c r="C1034" s="144"/>
      <c r="G1034" s="148"/>
      <c r="H1034" s="144"/>
    </row>
  </sheetData>
  <drawing r:id="rId1"/>
</worksheet>
</file>